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png" ContentType="image/png"/>
  <Default Extension="vml" ContentType="application/vnd.openxmlformats-officedocument.vmlDrawing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drawings/drawing1.xml" ContentType="application/vnd.openxmlformats-officedocument.drawing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drawings/drawing2.xml" ContentType="application/vnd.openxmlformats-officedocument.drawing+xml"/>
  <Override PartName="/xl/worksheets/sheet6.xml" ContentType="application/vnd.openxmlformats-officedocument.spreadsheetml.worksheet+xml"/>
  <Override PartName="/xl/charts/chart1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Relationship Type="http://schemas.openxmlformats.org/officeDocument/2006/relationships/custom-properties" Target="docProps/custom.xml" Id="rId4"/></Relationships>
</file>

<file path=xl/workbook.xml><?xml version="1.0" encoding="utf-8"?>
<workbook xmlns="http://schemas.openxmlformats.org/spreadsheetml/2006/main">
  <workbookPr codeName="ThisWorkbook"/>
  <workbookProtection lockStructure="1" workbookAlgorithmName="SHA-512" workbookHashValue="wzFoNzfVdL4Dmi+OGf0QVZyL3cjNKyvkR4xrmj9yq6Nei1SEI13Qf7QZ6Sk+CuW13o41oCxG+H2FZpbHK7JX0Q==" workbookSaltValue="28P0ZPqQNJMHt9isURrkZA==" workbookSpinCount="100000"/>
  <bookViews>
    <workbookView visibility="visible" minimized="0" showHorizontalScroll="1" showVerticalScroll="1" showSheetTabs="1" xWindow="0" yWindow="660" windowWidth="30240" windowHeight="18980" tabRatio="340" firstSheet="0" activeTab="1" autoFilterDateGrouping="1"/>
  </bookViews>
  <sheets>
    <sheet xmlns:r="http://schemas.openxmlformats.org/officeDocument/2006/relationships" name="Lists" sheetId="1" state="hidden" r:id="rId1"/>
    <sheet xmlns:r="http://schemas.openxmlformats.org/officeDocument/2006/relationships" name="Estimation" sheetId="2" state="visible" r:id="rId2"/>
    <sheet xmlns:r="http://schemas.openxmlformats.org/officeDocument/2006/relationships" name="Schedule" sheetId="3" state="visible" r:id="rId3"/>
    <sheet xmlns:r="http://schemas.openxmlformats.org/officeDocument/2006/relationships" name="RoughWork" sheetId="4" state="visible" r:id="rId4"/>
    <sheet xmlns:r="http://schemas.openxmlformats.org/officeDocument/2006/relationships" name="Help" sheetId="5" state="visible" r:id="rId5"/>
    <sheet xmlns:r="http://schemas.openxmlformats.org/officeDocument/2006/relationships" name="FAQs" sheetId="6" state="visible" r:id="rId6"/>
  </sheets>
  <definedNames>
    <definedName name="ACTIVITY_RANGE">Estimation!$376:$376</definedName>
    <definedName name="AS_DEV_EFFORT">Estimation!$P$266</definedName>
    <definedName name="AS_DURATION_EFFORT">Estimation!$P$267</definedName>
    <definedName name="AS_MANUAL_DURATION_EFFORT">Estimation!$U$268</definedName>
    <definedName name="AUTOMATED_END_DATE">Estimation!$P$242</definedName>
    <definedName name="BUFFER_TYPES_LIST">Lists!$B$45:$B$48</definedName>
    <definedName name="BUFFERS_BY_TYPE">Estimation!$N$301:$O$303</definedName>
    <definedName name="CHOSEN_CURRENCY">Estimation!$O$260</definedName>
    <definedName name="CLIENT_NAME">Estimation!$O$253</definedName>
    <definedName name="COMPACT_WBS">Estimation!$L$10:$T$203</definedName>
    <definedName name="COPY_TYPE">Estimation!$R$9</definedName>
    <definedName name="CURRENCIES_LIST">Lists!$B$27:$B$29</definedName>
    <definedName name="CUSTOM_PERCENT">Estimation!$T$5</definedName>
    <definedName name="DESIGN_COST">Estimation!$W$228</definedName>
    <definedName name="DESIGN_EFFORT">Estimation!$O$228</definedName>
    <definedName name="DESIGN_RANGE">Estimation!$L$65:$AC$94</definedName>
    <definedName name="DESIGN_TA_COUNT">Estimation!$R$238</definedName>
    <definedName name="DESIGN_TA_PERCENT">Estimation!$R$228</definedName>
    <definedName name="DEV_COST">Estimation!$W$229</definedName>
    <definedName name="DEV_DEV_COUNT">Estimation!$T$239</definedName>
    <definedName name="DEV_DEV_PERCENT">Estimation!$T$229</definedName>
    <definedName name="DEV_EFFORT">Estimation!$O$229</definedName>
    <definedName name="DEV_RANGE">Estimation!$L$95:$AC$134</definedName>
    <definedName name="DURATION">Estimation!$P$243</definedName>
    <definedName name="EXTRA_FOR_H">Estimation!$O$288</definedName>
    <definedName name="EXTRAS_ARRAY">Estimation!$N$293:$O$298</definedName>
    <definedName name="EXTRAS_LIST">Estimation!$N$293:$N$298</definedName>
    <definedName name="FBS">Estimation!$L$205</definedName>
    <definedName name="FBS_FORMAT">Estimation!$S$210</definedName>
    <definedName name="FBS_INSERT_AT">Estimation!$M$216:$P$216</definedName>
    <definedName name="FBS_LINK">Estimation!$T$210</definedName>
    <definedName name="FBS_RANGE">Estimation!$M$211:$P$217</definedName>
    <definedName name="FULL_WBS">Estimation!$L$10:$AC$203</definedName>
    <definedName name="INCLUDE_OPTIONALS_LIST">Lists!$B$58:$B$59</definedName>
    <definedName name="IS_KEY_OPP">Estimation!$O$258</definedName>
    <definedName name="LESS_FOR_L">Estimation!$O$289</definedName>
    <definedName name="MANUAL_DURATION">Estimation!$P$244</definedName>
    <definedName name="MANUAL_END_DATE">Schedule!$L$1</definedName>
    <definedName name="MAX_EFFORT_PERCENT">Estimation!$P$263</definedName>
    <definedName name="MIN_EFFORT_PERCENT">Estimation!$O$263</definedName>
    <definedName name="MODULE_RANGE">Estimation!$380:$380</definedName>
    <definedName name="NOT_IN_COMPACT">Estimation!$O:$W</definedName>
    <definedName name="OTHER_COST">Estimation!$W$232</definedName>
    <definedName name="OTHER_EFFORT">Estimation!$O$232</definedName>
    <definedName name="OTHER_TL_COUNT">Estimation!$S$242</definedName>
    <definedName name="OTHER_TL_PERCENT">Estimation!$S$232</definedName>
    <definedName name="OTHERS_RANGE">Estimation!$L$196:$AC$202</definedName>
    <definedName name="PLATFORM">Estimation!$O$255</definedName>
    <definedName name="PLATFORMS_LIST">Lists!$B$38:$B$42</definedName>
    <definedName name="PROJECT_NAME">Estimation!$O$254</definedName>
    <definedName name="PROJECT_TYPE">Estimation!$O$256</definedName>
    <definedName name="PROJECT_TYPES_LIST">Lists!$B$32:$B$35</definedName>
    <definedName name="QA_COST">Estimation!$W$230</definedName>
    <definedName name="QA_EFFORT">Estimation!$O$230</definedName>
    <definedName name="QA_RANGE">Estimation!$L$135:$AC$172</definedName>
    <definedName name="REGIONS_LIST">Lists!$B$19:$B$24</definedName>
    <definedName name="REQ_BA_COUNT">Estimation!$Q$237</definedName>
    <definedName name="REQ_BA_PERCENT">Estimation!$Q$227</definedName>
    <definedName name="REQ_COST">Estimation!$W$227</definedName>
    <definedName name="REQ_EFFORT">Estimation!$O$227</definedName>
    <definedName name="REQ_RANGE">Estimation!$L$12:$AC$64</definedName>
    <definedName name="RFP_NAME">Estimation!$O$257</definedName>
    <definedName name="ROLES_LIST">Lists!$B$8:$B$16</definedName>
    <definedName name="SALES_CALL_SCALE_ARRAY">Lists!$B$51:$C$55</definedName>
    <definedName name="SALES_CALL_SCALE_LIST">Lists!$B$51:$B$55</definedName>
    <definedName name="SALES_DECISION_TABLE">Estimation!$P$293:$P$294</definedName>
    <definedName name="SECTION_RANGE">Estimation!$372:$378</definedName>
    <definedName name="START_DATE">Estimation!$O$237</definedName>
    <definedName name="TASK_RANGE">Estimation!$374:$377</definedName>
    <definedName name="TEMPLATE_NAME">Estimation!$G$3</definedName>
    <definedName name="TEMPLATE_SECTION">Estimation!$371:$381</definedName>
    <definedName name="TEMPLATE_VER">Estimation!$K$3</definedName>
    <definedName name="TESTING_QA_COUNT">Estimation!$U$240</definedName>
    <definedName name="TESTING_QA_PERCENT">Estimation!$U$230</definedName>
    <definedName name="TOTAL_COST">Estimation!$W$233</definedName>
    <definedName name="TOTAL_EFFORT">Estimation!$O$233</definedName>
    <definedName name="Total_FRs">Estimation!$Q$23</definedName>
    <definedName name="Total_Screens">Estimation!$P$62</definedName>
    <definedName name="Total_Test_Cases">Estimation!$P$147</definedName>
    <definedName name="Total_Use_Cases">Estimation!$P$43</definedName>
    <definedName name="TOTAL_WEEKS">Estimation!$P$233</definedName>
    <definedName name="UAT_COST">Estimation!$W$231</definedName>
    <definedName name="UAT_DEV_COUNT">Estimation!$T$241</definedName>
    <definedName name="UAT_DEV_PERCENT">Estimation!$T$231</definedName>
    <definedName name="UAT_EFFORT">Estimation!$O$231</definedName>
    <definedName name="UAT_RANGE">Estimation!$L$173:$AC$195</definedName>
    <definedName name="YES_NO_LIST">Lists!$B$3:$B$5</definedName>
    <definedName name="_xlnm.Print_Area" localSheetId="1">'Estimation'!$A$1:$AC$249</definedName>
  </definedNames>
  <calcPr calcId="191029" fullCalcOnLoad="1"/>
</workbook>
</file>

<file path=xl/styles.xml><?xml version="1.0" encoding="utf-8"?>
<styleSheet xmlns="http://schemas.openxmlformats.org/spreadsheetml/2006/main">
  <numFmts count="3">
    <numFmt numFmtId="164" formatCode="0.0"/>
    <numFmt numFmtId="165" formatCode="_(* #,##0_);_(* \(#,##0\);_(* &quot;-&quot;??_);_(@_)"/>
    <numFmt numFmtId="166" formatCode="[$-409]d\-mmm;@"/>
  </numFmts>
  <fonts count="77">
    <font>
      <name val="Calibri"/>
      <family val="2"/>
      <color theme="1"/>
      <sz val="11"/>
      <scheme val="minor"/>
    </font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color theme="2" tint="-0.249977111117893"/>
      <sz val="11"/>
      <scheme val="minor"/>
    </font>
    <font>
      <name val="Calibri"/>
      <family val="2"/>
      <color rgb="FFC00000"/>
      <sz val="8"/>
      <scheme val="minor"/>
    </font>
    <font>
      <name val="Calibri"/>
      <family val="2"/>
      <color theme="1"/>
      <sz val="14"/>
      <scheme val="minor"/>
    </font>
    <font>
      <name val="Calibri"/>
      <family val="2"/>
      <color theme="4" tint="-0.499984740745262"/>
      <sz val="14"/>
      <scheme val="minor"/>
    </font>
    <font>
      <name val="Calibri"/>
      <family val="2"/>
      <b val="1"/>
      <color theme="8" tint="-0.249977111117893"/>
      <sz val="12"/>
      <scheme val="minor"/>
    </font>
    <font>
      <name val="Calibri"/>
      <family val="2"/>
      <color theme="8" tint="-0.249977111117893"/>
      <sz val="12"/>
      <scheme val="minor"/>
    </font>
    <font>
      <name val="Calibri"/>
      <family val="2"/>
      <color theme="4" tint="0.7999816888943144"/>
      <sz val="11"/>
      <scheme val="minor"/>
    </font>
    <font>
      <name val="Calibri"/>
      <family val="2"/>
      <b val="1"/>
      <color theme="9" tint="-0.499984740745262"/>
      <sz val="11"/>
      <scheme val="minor"/>
    </font>
    <font>
      <name val="Calibri"/>
      <family val="2"/>
      <i val="1"/>
      <color rgb="FFFF0000"/>
      <sz val="11"/>
      <scheme val="minor"/>
    </font>
    <font>
      <name val="Calibri"/>
      <family val="2"/>
      <color theme="9" tint="-0.499984740745262"/>
      <sz val="16"/>
      <scheme val="minor"/>
    </font>
    <font>
      <name val="Calibri"/>
      <family val="2"/>
      <b val="1"/>
      <color theme="9" tint="-0.499984740745262"/>
      <sz val="16"/>
      <scheme val="minor"/>
    </font>
    <font>
      <name val="Calibri"/>
      <family val="2"/>
      <b val="1"/>
      <sz val="11"/>
      <scheme val="minor"/>
    </font>
    <font>
      <name val="Calibri"/>
      <family val="2"/>
      <color rgb="FFFF0000"/>
      <sz val="11"/>
      <scheme val="minor"/>
    </font>
    <font>
      <name val="Calibri"/>
      <family val="2"/>
      <color theme="9" tint="0.7999816888943144"/>
      <sz val="20"/>
      <scheme val="minor"/>
    </font>
    <font>
      <name val="Calibri"/>
      <family val="2"/>
      <b val="1"/>
      <color theme="1"/>
      <sz val="12"/>
      <scheme val="minor"/>
    </font>
    <font>
      <name val="Calibri"/>
      <family val="2"/>
      <b val="1"/>
      <color theme="1"/>
      <sz val="16"/>
      <scheme val="minor"/>
    </font>
    <font>
      <name val="Calibri"/>
      <family val="2"/>
      <color theme="1"/>
      <sz val="16"/>
      <scheme val="minor"/>
    </font>
    <font>
      <name val="Calibri"/>
      <family val="2"/>
      <color theme="10"/>
      <sz val="11"/>
      <u val="single"/>
      <scheme val="minor"/>
    </font>
    <font>
      <name val="Calibri"/>
      <family val="2"/>
      <color rgb="FF0070C0"/>
      <sz val="11"/>
      <scheme val="minor"/>
    </font>
    <font>
      <name val="Calibri"/>
      <family val="2"/>
      <i val="1"/>
      <color theme="8" tint="-0.249977111117893"/>
      <sz val="11"/>
      <scheme val="minor"/>
    </font>
    <font>
      <name val="Calibri"/>
      <family val="2"/>
      <b val="1"/>
      <color theme="5" tint="-0.249977111117893"/>
      <sz val="14"/>
      <scheme val="minor"/>
    </font>
    <font>
      <name val="Calibri"/>
      <family val="2"/>
      <i val="1"/>
      <color rgb="FF0070C0"/>
      <sz val="12"/>
      <scheme val="minor"/>
    </font>
    <font>
      <name val="Calibri"/>
      <family val="2"/>
      <color rgb="FF0070C0"/>
      <sz val="14"/>
      <scheme val="minor"/>
    </font>
    <font>
      <name val="Calibri"/>
      <family val="2"/>
      <color theme="8"/>
      <sz val="11"/>
      <scheme val="minor"/>
    </font>
    <font>
      <name val="Calibri"/>
      <family val="2"/>
      <color rgb="FFFF0000"/>
      <sz val="12"/>
      <scheme val="minor"/>
    </font>
    <font>
      <name val="Calibri"/>
      <family val="2"/>
      <b val="1"/>
      <color theme="9"/>
      <sz val="12"/>
      <scheme val="minor"/>
    </font>
    <font>
      <name val="Calibri"/>
      <family val="2"/>
      <b val="1"/>
      <color theme="8" tint="-0.249977111117893"/>
      <sz val="12"/>
    </font>
    <font>
      <name val="Calibri"/>
      <family val="2"/>
      <color theme="0" tint="-0.1499984740745262"/>
      <sz val="8"/>
      <scheme val="minor"/>
    </font>
    <font>
      <name val="Calibri"/>
      <family val="2"/>
      <color theme="2" tint="-0.499984740745262"/>
      <sz val="9"/>
      <scheme val="minor"/>
    </font>
    <font>
      <name val="Calibri"/>
      <family val="2"/>
      <b val="1"/>
      <color theme="0"/>
      <sz val="11"/>
      <scheme val="minor"/>
    </font>
    <font>
      <name val="Calibri"/>
      <family val="2"/>
      <color theme="1"/>
      <sz val="18"/>
      <scheme val="minor"/>
    </font>
    <font>
      <name val="Calibri"/>
      <family val="2"/>
      <color theme="1"/>
      <sz val="12"/>
      <scheme val="minor"/>
    </font>
    <font>
      <name val="Calibri"/>
      <family val="2"/>
      <color theme="8" tint="-0.499984740745262"/>
      <sz val="12"/>
      <scheme val="minor"/>
    </font>
    <font>
      <name val="Calibri"/>
      <family val="2"/>
      <b val="1"/>
      <color theme="8" tint="-0.499984740745262"/>
      <sz val="12"/>
      <scheme val="minor"/>
    </font>
    <font>
      <name val="Calibri"/>
      <family val="2"/>
      <color rgb="FFC00000"/>
      <sz val="11"/>
    </font>
    <font>
      <name val="Calibri"/>
      <family val="2"/>
      <color rgb="FFC00000"/>
      <sz val="10"/>
    </font>
    <font>
      <name val="Calibri"/>
      <family val="2"/>
      <color rgb="FFC00000"/>
      <sz val="11"/>
      <scheme val="minor"/>
    </font>
    <font>
      <name val="Calibri"/>
      <family val="2"/>
      <b val="1"/>
      <color theme="8" tint="-0.499984740745262"/>
      <sz val="11"/>
      <scheme val="minor"/>
    </font>
    <font>
      <name val="Calibri"/>
      <family val="2"/>
      <i val="1"/>
      <color theme="1"/>
      <sz val="11"/>
      <scheme val="minor"/>
    </font>
    <font>
      <name val="Calibri"/>
      <family val="2"/>
      <color theme="1"/>
      <sz val="9"/>
      <scheme val="minor"/>
    </font>
    <font>
      <name val="Calibri"/>
      <family val="2"/>
      <color theme="5" tint="-0.249977111117893"/>
      <sz val="14"/>
      <scheme val="minor"/>
    </font>
    <font>
      <name val="Calibri"/>
      <family val="2"/>
      <color theme="5" tint="-0.249977111117893"/>
      <sz val="11"/>
      <scheme val="minor"/>
    </font>
    <font>
      <name val="Calibri"/>
      <family val="2"/>
      <i val="1"/>
      <color theme="7" tint="0.7999816888943144"/>
      <sz val="12"/>
      <scheme val="minor"/>
    </font>
    <font>
      <name val="Calibri"/>
      <family val="2"/>
      <color rgb="FF0070C0"/>
      <sz val="14"/>
      <u val="single"/>
      <scheme val="minor"/>
    </font>
    <font>
      <name val="Calibri"/>
      <family val="2"/>
      <color rgb="FF0070C0"/>
      <sz val="12"/>
      <scheme val="minor"/>
    </font>
    <font>
      <name val="Calibri"/>
      <family val="2"/>
      <b val="1"/>
      <color rgb="FF0070C0"/>
      <sz val="11"/>
      <scheme val="minor"/>
    </font>
    <font>
      <name val="Calibri"/>
      <family val="2"/>
      <b val="1"/>
      <color theme="8" tint="-0.499984740745262"/>
      <sz val="10"/>
      <scheme val="minor"/>
    </font>
    <font>
      <name val="Calibri"/>
      <family val="2"/>
      <color theme="4"/>
      <sz val="12"/>
      <scheme val="minor"/>
    </font>
    <font>
      <name val="Calibri"/>
      <family val="2"/>
      <b val="1"/>
      <color theme="4" tint="-0.499984740745262"/>
      <sz val="14"/>
      <scheme val="minor"/>
    </font>
    <font>
      <name val="Calibri"/>
      <family val="2"/>
      <b val="1"/>
      <color theme="1"/>
      <sz val="22"/>
      <scheme val="minor"/>
    </font>
    <font>
      <name val="Calibri"/>
      <family val="2"/>
      <color theme="0" tint="-0.0499893185216834"/>
      <sz val="12"/>
      <scheme val="minor"/>
    </font>
    <font>
      <name val="Calibri"/>
      <family val="2"/>
      <color theme="4" tint="0.5999938962981048"/>
      <sz val="14"/>
      <scheme val="minor"/>
    </font>
    <font>
      <name val="Calibri"/>
      <family val="2"/>
      <b val="1"/>
      <color rgb="FFFF00FF"/>
      <sz val="12"/>
    </font>
    <font>
      <name val="Calibri"/>
      <family val="2"/>
      <b val="1"/>
      <color rgb="FFFF00FF"/>
      <sz val="12"/>
      <scheme val="minor"/>
    </font>
    <font>
      <name val="Calibri"/>
      <family val="2"/>
      <b val="1"/>
      <color theme="10"/>
      <sz val="12"/>
      <scheme val="minor"/>
    </font>
    <font>
      <name val="Calibri"/>
      <family val="2"/>
      <b val="1"/>
      <color rgb="FFCC00CC"/>
      <sz val="11"/>
      <scheme val="minor"/>
    </font>
    <font>
      <name val="Calibri"/>
      <family val="2"/>
      <color theme="1"/>
      <sz val="11"/>
    </font>
    <font>
      <name val="Calibri"/>
      <family val="2"/>
      <sz val="11"/>
      <scheme val="minor"/>
    </font>
    <font>
      <name val="Calibri"/>
      <family val="2"/>
      <i val="1"/>
      <color theme="1"/>
      <sz val="10"/>
      <scheme val="minor"/>
    </font>
    <font>
      <name val="Calibri"/>
      <family val="2"/>
      <b val="1"/>
      <i val="1"/>
      <color theme="8" tint="-0.249977111117893"/>
      <sz val="11"/>
      <scheme val="minor"/>
    </font>
    <font>
      <name val="Calibri"/>
      <family val="2"/>
      <b val="1"/>
      <i val="1"/>
      <color theme="8" tint="-0.249977111117893"/>
      <sz val="10"/>
      <scheme val="minor"/>
    </font>
    <font>
      <name val="Calibri"/>
      <family val="2"/>
      <b val="1"/>
      <color rgb="FFFF0000"/>
      <sz val="14"/>
      <scheme val="minor"/>
    </font>
    <font>
      <name val="Calibri"/>
      <family val="2"/>
      <b val="1"/>
      <color rgb="FF00B0F0"/>
      <sz val="18"/>
      <u val="single"/>
      <scheme val="minor"/>
    </font>
    <font>
      <name val="Calibri"/>
      <family val="2"/>
      <color rgb="FF0070C0"/>
      <sz val="11"/>
      <u val="single"/>
      <scheme val="minor"/>
    </font>
    <font>
      <name val="Calibri"/>
      <family val="2"/>
      <b val="1"/>
      <sz val="16"/>
      <scheme val="minor"/>
    </font>
    <font>
      <name val="Calibri"/>
      <family val="2"/>
      <b val="1"/>
      <color theme="4"/>
      <sz val="16"/>
      <scheme val="minor"/>
    </font>
    <font>
      <name val="Calibri"/>
      <family val="2"/>
      <b val="1"/>
      <color theme="5"/>
      <sz val="16"/>
      <scheme val="minor"/>
    </font>
    <font>
      <name val="Calibri"/>
      <family val="2"/>
      <color theme="5"/>
      <sz val="16"/>
      <scheme val="minor"/>
    </font>
    <font>
      <name val="Calibri"/>
      <family val="2"/>
      <b val="1"/>
      <color rgb="FFC00000"/>
      <sz val="16"/>
      <scheme val="minor"/>
    </font>
    <font>
      <name val="Calibri"/>
      <family val="2"/>
      <b val="1"/>
      <color rgb="FFFF00FF"/>
      <sz val="14"/>
      <u val="single"/>
      <scheme val="minor"/>
    </font>
    <font>
      <name val="Calibri"/>
      <family val="2"/>
      <color theme="8" tint="-0.249977111117893"/>
      <sz val="11"/>
      <scheme val="minor"/>
    </font>
    <font>
      <name val="Calibri"/>
      <family val="2"/>
      <b val="1"/>
      <color rgb="FFFF0000"/>
      <sz val="11"/>
      <scheme val="minor"/>
    </font>
    <font>
      <name val="Calibri"/>
      <family val="2"/>
      <color rgb="FF0070C0"/>
      <sz val="8"/>
      <scheme val="minor"/>
    </font>
    <font>
      <name val="Calibri"/>
      <family val="2"/>
      <color rgb="FF000000"/>
      <sz val="11"/>
      <scheme val="minor"/>
    </font>
  </fonts>
  <fills count="27">
    <fill>
      <patternFill/>
    </fill>
    <fill>
      <patternFill patternType="gray125"/>
    </fill>
    <fill>
      <patternFill patternType="solid">
        <fgColor theme="0" tint="-0.0499893185216834"/>
        <bgColor indexed="64"/>
      </patternFill>
    </fill>
    <fill>
      <patternFill patternType="solid">
        <fgColor theme="2" tint="-0.09997863704336681"/>
        <bgColor indexed="64"/>
      </patternFill>
    </fill>
    <fill>
      <patternFill patternType="solid">
        <fgColor theme="4" tint="0.7999816888943144"/>
        <bgColor indexed="64"/>
      </patternFill>
    </fill>
    <fill>
      <patternFill patternType="solid">
        <fgColor rgb="FFF5F9FD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gradientFill type="linear" degree="90">
        <stop position="0">
          <color theme="2" tint="-0.2509537034211249"/>
        </stop>
        <stop position="1">
          <color theme="2" tint="-0.09802545243690299"/>
        </stop>
      </gradientFill>
    </fill>
    <fill>
      <gradientFill type="linear" degree="270">
        <stop position="0">
          <color theme="2" tint="-0.2509537034211249"/>
        </stop>
        <stop position="1">
          <color theme="2" tint="-0.09802545243690299"/>
        </stop>
      </gradientFill>
    </fill>
    <fill>
      <patternFill patternType="solid">
        <fgColor theme="4" tint="0.7999816888943144"/>
        <bgColor auto="1"/>
      </patternFill>
    </fill>
    <fill>
      <patternFill patternType="solid">
        <fgColor theme="0" tint="-0.1499984740745262"/>
        <bgColor indexed="64"/>
      </patternFill>
    </fill>
    <fill>
      <patternFill patternType="solid">
        <fgColor rgb="FFF9F9F9"/>
        <bgColor indexed="64"/>
      </patternFill>
    </fill>
    <fill>
      <patternFill patternType="solid">
        <fgColor theme="5" tint="0.7999816888943144"/>
        <bgColor indexed="64"/>
      </patternFill>
    </fill>
    <fill>
      <patternFill patternType="solid">
        <fgColor theme="7" tint="0.7999816888943144"/>
        <bgColor indexed="64"/>
      </patternFill>
    </fill>
    <fill>
      <patternFill patternType="solid">
        <fgColor theme="7" tint="0.7999816888943144"/>
        <bgColor auto="1"/>
      </patternFill>
    </fill>
    <fill>
      <patternFill patternType="solid">
        <fgColor rgb="FFC00000"/>
        <bgColor indexed="64"/>
      </patternFill>
    </fill>
    <fill>
      <patternFill patternType="solid">
        <fgColor rgb="FFFF9999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9" tint="0.3999755851924192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7" tint="-0.249977111117893"/>
        <bgColor indexed="64"/>
      </patternFill>
    </fill>
    <fill>
      <gradientFill type="linear" degree="270">
        <stop position="0">
          <color theme="7" tint="0.8000122074037904"/>
        </stop>
        <stop position="1">
          <color theme="7" tint="0.5999938962981048"/>
        </stop>
      </gradientFill>
    </fill>
    <fill>
      <patternFill patternType="solid">
        <fgColor theme="4" tint="0.5999938962981048"/>
        <bgColor indexed="64"/>
      </patternFill>
    </fill>
    <fill>
      <patternFill patternType="solid">
        <fgColor rgb="FFFFF6DD"/>
        <bgColor indexed="64"/>
      </patternFill>
    </fill>
    <fill>
      <patternFill patternType="solid">
        <fgColor theme="4" tint="0.3999755851924192"/>
        <bgColor indexed="64"/>
      </patternFill>
    </fill>
  </fills>
  <borders count="24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hair">
        <color auto="1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hair">
        <color indexed="64"/>
      </left>
      <right/>
      <top/>
      <bottom style="hair">
        <color auto="1"/>
      </bottom>
      <diagonal/>
    </border>
    <border>
      <left/>
      <right/>
      <top style="hair">
        <color auto="1"/>
      </top>
      <bottom/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/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auto="1"/>
      </right>
      <top/>
      <bottom/>
      <diagonal/>
    </border>
    <border>
      <left/>
      <right style="hair">
        <color auto="1"/>
      </right>
      <top/>
      <bottom style="hair">
        <color auto="1"/>
      </bottom>
      <diagonal/>
    </border>
    <border>
      <left style="hair">
        <color auto="1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hair">
        <color auto="1"/>
      </left>
      <right/>
      <top/>
      <bottom style="hair">
        <color auto="1"/>
      </bottom>
      <diagonal/>
    </border>
    <border>
      <left style="hair">
        <color indexed="64"/>
      </left>
      <right style="hair">
        <color auto="1"/>
      </right>
      <top/>
      <bottom style="hair">
        <color auto="1"/>
      </bottom>
      <diagonal/>
    </border>
  </borders>
  <cellStyleXfs count="4">
    <xf numFmtId="0" fontId="1" fillId="0" borderId="0"/>
    <xf numFmtId="43" fontId="1" fillId="0" borderId="0"/>
    <xf numFmtId="9" fontId="1" fillId="0" borderId="0"/>
    <xf numFmtId="0" fontId="20" fillId="0" borderId="0"/>
  </cellStyleXfs>
  <cellXfs count="367">
    <xf numFmtId="0" fontId="0" fillId="0" borderId="0" pivotButton="0" quotePrefix="0" xfId="0"/>
    <xf numFmtId="0" fontId="0" fillId="2" borderId="0" pivotButton="0" quotePrefix="0" xfId="0"/>
    <xf numFmtId="0" fontId="2" fillId="3" borderId="0" pivotButton="0" quotePrefix="0" xfId="0"/>
    <xf numFmtId="0" fontId="0" fillId="3" borderId="0" pivotButton="0" quotePrefix="0" xfId="0"/>
    <xf numFmtId="0" fontId="8" fillId="2" borderId="0" applyAlignment="1" applyProtection="1" pivotButton="0" quotePrefix="0" xfId="0">
      <alignment vertical="center" wrapText="1"/>
      <protection locked="0" hidden="0"/>
    </xf>
    <xf numFmtId="0" fontId="2" fillId="3" borderId="0" applyAlignment="1" pivotButton="0" quotePrefix="0" xfId="0">
      <alignment vertical="top" wrapText="1"/>
    </xf>
    <xf numFmtId="0" fontId="0" fillId="6" borderId="0" applyAlignment="1" pivotButton="0" quotePrefix="0" xfId="0">
      <alignment vertical="top"/>
    </xf>
    <xf numFmtId="0" fontId="0" fillId="6" borderId="0" applyAlignment="1" pivotButton="0" quotePrefix="0" xfId="0">
      <alignment vertical="top" wrapText="1"/>
    </xf>
    <xf numFmtId="0" fontId="3" fillId="6" borderId="0" applyAlignment="1" pivotButton="0" quotePrefix="0" xfId="0">
      <alignment vertical="top"/>
    </xf>
    <xf numFmtId="0" fontId="0" fillId="6" borderId="0" applyAlignment="1" pivotButton="0" quotePrefix="0" xfId="0">
      <alignment vertical="center"/>
    </xf>
    <xf numFmtId="0" fontId="0" fillId="6" borderId="0" applyAlignment="1" pivotButton="0" quotePrefix="0" xfId="0">
      <alignment vertical="center" wrapText="1"/>
    </xf>
    <xf numFmtId="0" fontId="0" fillId="6" borderId="0" applyAlignment="1" applyProtection="1" pivotButton="0" quotePrefix="0" xfId="0">
      <alignment vertical="center"/>
      <protection locked="0" hidden="0"/>
    </xf>
    <xf numFmtId="2" fontId="0" fillId="6" borderId="0" applyAlignment="1" pivotButton="0" quotePrefix="0" xfId="0">
      <alignment vertical="top"/>
    </xf>
    <xf numFmtId="0" fontId="0" fillId="6" borderId="0" applyAlignment="1" applyProtection="1" pivotButton="0" quotePrefix="0" xfId="0">
      <alignment vertical="top"/>
      <protection locked="0" hidden="0"/>
    </xf>
    <xf numFmtId="1" fontId="4" fillId="6" borderId="0" applyAlignment="1" pivotButton="0" quotePrefix="0" xfId="0">
      <alignment vertical="top"/>
    </xf>
    <xf numFmtId="0" fontId="0" fillId="6" borderId="4" applyAlignment="1" applyProtection="1" pivotButton="0" quotePrefix="0" xfId="0">
      <alignment vertical="top"/>
      <protection locked="0" hidden="0"/>
    </xf>
    <xf numFmtId="0" fontId="0" fillId="6" borderId="4" applyAlignment="1" applyProtection="1" pivotButton="0" quotePrefix="0" xfId="0">
      <alignment vertical="top" wrapText="1"/>
      <protection locked="0" hidden="0"/>
    </xf>
    <xf numFmtId="9" fontId="0" fillId="6" borderId="4" applyAlignment="1" applyProtection="1" pivotButton="0" quotePrefix="0" xfId="0">
      <alignment vertical="top"/>
      <protection locked="0" hidden="0"/>
    </xf>
    <xf numFmtId="2" fontId="0" fillId="6" borderId="4" applyAlignment="1" applyProtection="1" pivotButton="0" quotePrefix="0" xfId="0">
      <alignment vertical="top"/>
      <protection locked="0" hidden="0"/>
    </xf>
    <xf numFmtId="0" fontId="11" fillId="6" borderId="0" applyAlignment="1" pivotButton="0" quotePrefix="0" xfId="0">
      <alignment vertical="top" wrapText="1"/>
    </xf>
    <xf numFmtId="0" fontId="0" fillId="6" borderId="0" applyAlignment="1" applyProtection="1" pivotButton="0" quotePrefix="0" xfId="0">
      <alignment vertical="top" wrapText="1"/>
      <protection locked="0" hidden="0"/>
    </xf>
    <xf numFmtId="0" fontId="0" fillId="4" borderId="0" applyAlignment="1" pivotButton="0" quotePrefix="0" xfId="0">
      <alignment vertical="top"/>
    </xf>
    <xf numFmtId="2" fontId="0" fillId="4" borderId="0" applyAlignment="1" pivotButton="0" quotePrefix="0" xfId="0">
      <alignment vertical="top"/>
    </xf>
    <xf numFmtId="0" fontId="0" fillId="4" borderId="0" applyAlignment="1" pivotButton="0" quotePrefix="0" xfId="0">
      <alignment vertical="top" wrapText="1"/>
    </xf>
    <xf numFmtId="0" fontId="0" fillId="2" borderId="0" applyAlignment="1" pivotButton="0" quotePrefix="0" xfId="0">
      <alignment vertical="center"/>
    </xf>
    <xf numFmtId="0" fontId="8" fillId="2" borderId="0" applyAlignment="1" pivotButton="0" quotePrefix="0" xfId="0">
      <alignment vertical="center"/>
    </xf>
    <xf numFmtId="2" fontId="7" fillId="2" borderId="0" applyAlignment="1" pivotButton="0" quotePrefix="0" xfId="0">
      <alignment vertical="center"/>
    </xf>
    <xf numFmtId="0" fontId="7" fillId="2" borderId="0" applyAlignment="1" pivotButton="0" quotePrefix="0" xfId="0">
      <alignment vertical="center"/>
    </xf>
    <xf numFmtId="0" fontId="7" fillId="2" borderId="0" applyAlignment="1" pivotButton="0" quotePrefix="0" xfId="0">
      <alignment vertical="center" wrapText="1"/>
    </xf>
    <xf numFmtId="0" fontId="0" fillId="6" borderId="4" applyAlignment="1" pivotButton="0" quotePrefix="0" xfId="0">
      <alignment vertical="top" wrapText="1"/>
    </xf>
    <xf numFmtId="0" fontId="0" fillId="6" borderId="7" applyAlignment="1" applyProtection="1" pivotButton="0" quotePrefix="0" xfId="0">
      <alignment vertical="top" wrapText="1"/>
      <protection locked="0" hidden="0"/>
    </xf>
    <xf numFmtId="0" fontId="0" fillId="8" borderId="0" applyAlignment="1" pivotButton="0" quotePrefix="0" xfId="0">
      <alignment vertical="top"/>
    </xf>
    <xf numFmtId="0" fontId="0" fillId="8" borderId="0" applyAlignment="1" pivotButton="0" quotePrefix="0" xfId="0">
      <alignment vertical="top" wrapText="1"/>
    </xf>
    <xf numFmtId="0" fontId="2" fillId="8" borderId="0" applyAlignment="1" pivotButton="0" quotePrefix="0" xfId="0">
      <alignment vertical="top"/>
    </xf>
    <xf numFmtId="9" fontId="14" fillId="8" borderId="2" applyAlignment="1" pivotButton="0" quotePrefix="0" xfId="0">
      <alignment vertical="top"/>
    </xf>
    <xf numFmtId="0" fontId="0" fillId="9" borderId="0" applyAlignment="1" pivotButton="0" quotePrefix="0" xfId="0">
      <alignment vertical="top"/>
    </xf>
    <xf numFmtId="9" fontId="0" fillId="5" borderId="9" applyAlignment="1" applyProtection="1" pivotButton="0" quotePrefix="0" xfId="0">
      <alignment horizontal="right" vertical="top"/>
      <protection locked="0" hidden="0"/>
    </xf>
    <xf numFmtId="0" fontId="0" fillId="5" borderId="9" applyAlignment="1" applyProtection="1" pivotButton="0" quotePrefix="0" xfId="0">
      <alignment horizontal="right" vertical="top"/>
      <protection locked="0" hidden="0"/>
    </xf>
    <xf numFmtId="9" fontId="0" fillId="5" borderId="9" applyAlignment="1" applyProtection="1" pivotButton="0" quotePrefix="0" xfId="0">
      <alignment horizontal="left" vertical="top"/>
      <protection locked="0" hidden="0"/>
    </xf>
    <xf numFmtId="0" fontId="0" fillId="5" borderId="9" applyAlignment="1" applyProtection="1" pivotButton="0" quotePrefix="0" xfId="0">
      <alignment horizontal="left" vertical="top"/>
      <protection locked="0" hidden="0"/>
    </xf>
    <xf numFmtId="0" fontId="2" fillId="8" borderId="0" applyAlignment="1" pivotButton="0" quotePrefix="0" xfId="0">
      <alignment horizontal="center" vertical="top"/>
    </xf>
    <xf numFmtId="0" fontId="0" fillId="8" borderId="1" applyAlignment="1" pivotButton="0" quotePrefix="0" xfId="0">
      <alignment vertical="top"/>
    </xf>
    <xf numFmtId="164" fontId="0" fillId="5" borderId="9" applyAlignment="1" applyProtection="1" pivotButton="0" quotePrefix="0" xfId="0">
      <alignment horizontal="center" vertical="top"/>
      <protection locked="0" hidden="0"/>
    </xf>
    <xf numFmtId="164" fontId="0" fillId="5" borderId="9" applyAlignment="1" applyProtection="1" pivotButton="0" quotePrefix="0" xfId="0">
      <alignment horizontal="left" vertical="top"/>
      <protection locked="0" hidden="0"/>
    </xf>
    <xf numFmtId="0" fontId="6" fillId="10" borderId="0" applyAlignment="1" applyProtection="1" pivotButton="0" quotePrefix="0" xfId="0">
      <alignment vertical="center"/>
      <protection locked="0" hidden="0"/>
    </xf>
    <xf numFmtId="0" fontId="5" fillId="10" borderId="0" applyAlignment="1" applyProtection="1" pivotButton="0" quotePrefix="0" xfId="0">
      <alignment vertical="center" wrapText="1"/>
      <protection locked="0" hidden="0"/>
    </xf>
    <xf numFmtId="0" fontId="5" fillId="10" borderId="0" applyAlignment="1" pivotButton="0" quotePrefix="0" xfId="0">
      <alignment vertical="center" wrapText="1"/>
    </xf>
    <xf numFmtId="0" fontId="5" fillId="10" borderId="0" applyAlignment="1" pivotButton="0" quotePrefix="0" xfId="0">
      <alignment vertical="center"/>
    </xf>
    <xf numFmtId="0" fontId="0" fillId="10" borderId="0" applyAlignment="1" pivotButton="0" quotePrefix="0" xfId="0">
      <alignment vertical="top"/>
    </xf>
    <xf numFmtId="0" fontId="0" fillId="10" borderId="0" applyAlignment="1" pivotButton="0" quotePrefix="0" xfId="0">
      <alignment vertical="top" wrapText="1"/>
    </xf>
    <xf numFmtId="0" fontId="0" fillId="4" borderId="0" applyAlignment="1" applyProtection="1" pivotButton="0" quotePrefix="0" xfId="0">
      <alignment vertical="top"/>
      <protection locked="0" hidden="0"/>
    </xf>
    <xf numFmtId="0" fontId="0" fillId="4" borderId="0" applyAlignment="1" applyProtection="1" pivotButton="0" quotePrefix="0" xfId="0">
      <alignment vertical="top" wrapText="1"/>
      <protection locked="0" hidden="0"/>
    </xf>
    <xf numFmtId="1" fontId="18" fillId="4" borderId="0" applyAlignment="1" pivotButton="0" quotePrefix="0" xfId="0">
      <alignment vertical="top"/>
    </xf>
    <xf numFmtId="0" fontId="9" fillId="4" borderId="0" applyAlignment="1" applyProtection="1" pivotButton="0" quotePrefix="0" xfId="0">
      <alignment vertical="top"/>
      <protection locked="0" hidden="0"/>
    </xf>
    <xf numFmtId="9" fontId="14" fillId="8" borderId="0" applyAlignment="1" pivotButton="0" quotePrefix="0" xfId="0">
      <alignment vertical="top"/>
    </xf>
    <xf numFmtId="0" fontId="0" fillId="3" borderId="0" applyAlignment="1" pivotButton="0" quotePrefix="0" xfId="0">
      <alignment vertical="top" wrapText="1"/>
    </xf>
    <xf numFmtId="0" fontId="15" fillId="7" borderId="0" applyAlignment="1" pivotButton="0" quotePrefix="0" xfId="0">
      <alignment horizontal="center" vertical="top"/>
    </xf>
    <xf numFmtId="0" fontId="15" fillId="7" borderId="0" applyAlignment="1" pivotButton="0" quotePrefix="0" xfId="0">
      <alignment horizontal="center" vertical="center"/>
    </xf>
    <xf numFmtId="0" fontId="0" fillId="6" borderId="0" applyAlignment="1" pivotButton="0" quotePrefix="0" xfId="0">
      <alignment horizontal="center" vertical="top"/>
    </xf>
    <xf numFmtId="0" fontId="26" fillId="7" borderId="0" applyAlignment="1" pivotButton="0" quotePrefix="0" xfId="0">
      <alignment horizontal="center" vertical="center"/>
    </xf>
    <xf numFmtId="0" fontId="27" fillId="7" borderId="0" applyAlignment="1" pivotButton="0" quotePrefix="0" xfId="0">
      <alignment horizontal="center" vertical="center"/>
    </xf>
    <xf numFmtId="0" fontId="28" fillId="7" borderId="0" applyAlignment="1" pivotButton="0" quotePrefix="0" xfId="0">
      <alignment horizontal="center" vertical="center"/>
    </xf>
    <xf numFmtId="0" fontId="28" fillId="7" borderId="0" applyAlignment="1" pivotButton="0" quotePrefix="0" xfId="0">
      <alignment horizontal="center" vertical="top"/>
    </xf>
    <xf numFmtId="0" fontId="27" fillId="7" borderId="0" applyAlignment="1" pivotButton="0" quotePrefix="0" xfId="0">
      <alignment horizontal="center" vertical="top"/>
    </xf>
    <xf numFmtId="0" fontId="8" fillId="13" borderId="0" applyAlignment="1" applyProtection="1" pivotButton="0" quotePrefix="0" xfId="0">
      <alignment vertical="center" wrapText="1"/>
      <protection locked="0" hidden="0"/>
    </xf>
    <xf numFmtId="0" fontId="8" fillId="13" borderId="0" applyAlignment="1" pivotButton="0" quotePrefix="0" xfId="0">
      <alignment vertical="center"/>
    </xf>
    <xf numFmtId="2" fontId="7" fillId="13" borderId="0" applyAlignment="1" pivotButton="0" quotePrefix="0" xfId="0">
      <alignment vertical="center"/>
    </xf>
    <xf numFmtId="0" fontId="7" fillId="13" borderId="0" applyAlignment="1" pivotButton="0" quotePrefix="0" xfId="0">
      <alignment vertical="center"/>
    </xf>
    <xf numFmtId="0" fontId="7" fillId="13" borderId="0" applyAlignment="1" pivotButton="0" quotePrefix="0" xfId="0">
      <alignment vertical="center" wrapText="1"/>
    </xf>
    <xf numFmtId="1" fontId="29" fillId="13" borderId="0" applyAlignment="1" applyProtection="1" pivotButton="0" quotePrefix="0" xfId="0">
      <alignment vertical="center"/>
      <protection locked="0" hidden="0"/>
    </xf>
    <xf numFmtId="0" fontId="30" fillId="11" borderId="0" applyAlignment="1" pivotButton="0" quotePrefix="0" xfId="0">
      <alignment horizontal="center" vertical="top" textRotation="90"/>
    </xf>
    <xf numFmtId="0" fontId="0" fillId="14" borderId="0" applyAlignment="1" pivotButton="0" quotePrefix="0" xfId="0">
      <alignment vertical="top"/>
    </xf>
    <xf numFmtId="0" fontId="12" fillId="14" borderId="0" applyAlignment="1" pivotButton="0" quotePrefix="0" xfId="0">
      <alignment vertical="top"/>
    </xf>
    <xf numFmtId="0" fontId="24" fillId="14" borderId="0" applyAlignment="1" pivotButton="0" quotePrefix="0" xfId="0">
      <alignment vertical="center"/>
    </xf>
    <xf numFmtId="0" fontId="0" fillId="16" borderId="0" pivotButton="0" quotePrefix="0" xfId="0"/>
    <xf numFmtId="164" fontId="0" fillId="5" borderId="9" applyAlignment="1" applyProtection="1" pivotButton="0" quotePrefix="0" xfId="0">
      <alignment horizontal="right" vertical="top"/>
      <protection locked="0" hidden="0"/>
    </xf>
    <xf numFmtId="0" fontId="22" fillId="4" borderId="0" applyAlignment="1" pivotButton="0" quotePrefix="0" xfId="0">
      <alignment vertical="top"/>
    </xf>
    <xf numFmtId="9" fontId="0" fillId="14" borderId="9" applyAlignment="1" applyProtection="1" pivotButton="0" quotePrefix="0" xfId="0">
      <alignment horizontal="right" vertical="top"/>
      <protection locked="0" hidden="0"/>
    </xf>
    <xf numFmtId="164" fontId="0" fillId="14" borderId="9" applyAlignment="1" applyProtection="1" pivotButton="0" quotePrefix="0" xfId="0">
      <alignment horizontal="right" vertical="top"/>
      <protection locked="0" hidden="0"/>
    </xf>
    <xf numFmtId="15" fontId="2" fillId="5" borderId="11" applyAlignment="1" applyProtection="1" pivotButton="0" quotePrefix="0" xfId="0">
      <alignment vertical="top" wrapText="1"/>
      <protection locked="0" hidden="0"/>
    </xf>
    <xf numFmtId="0" fontId="18" fillId="4" borderId="0" applyAlignment="1" pivotButton="0" quotePrefix="0" xfId="0">
      <alignment horizontal="right" vertical="top"/>
    </xf>
    <xf numFmtId="0" fontId="18" fillId="4" borderId="0" applyAlignment="1" pivotButton="0" quotePrefix="0" xfId="0">
      <alignment vertical="top"/>
    </xf>
    <xf numFmtId="0" fontId="34" fillId="19" borderId="0" applyAlignment="1" pivotButton="0" quotePrefix="0" xfId="0">
      <alignment vertical="top"/>
    </xf>
    <xf numFmtId="164" fontId="0" fillId="5" borderId="10" applyAlignment="1" applyProtection="1" pivotButton="0" quotePrefix="0" xfId="0">
      <alignment horizontal="right" vertical="top"/>
      <protection locked="0" hidden="0"/>
    </xf>
    <xf numFmtId="164" fontId="0" fillId="14" borderId="10" applyAlignment="1" applyProtection="1" pivotButton="0" quotePrefix="0" xfId="0">
      <alignment horizontal="right" vertical="top"/>
      <protection locked="0" hidden="0"/>
    </xf>
    <xf numFmtId="164" fontId="0" fillId="5" borderId="10" applyAlignment="1" applyProtection="1" pivotButton="0" quotePrefix="0" xfId="0">
      <alignment horizontal="left" vertical="top"/>
      <protection locked="0" hidden="0"/>
    </xf>
    <xf numFmtId="0" fontId="17" fillId="19" borderId="0" applyAlignment="1" pivotButton="0" quotePrefix="0" xfId="0">
      <alignment vertical="top"/>
    </xf>
    <xf numFmtId="0" fontId="0" fillId="11" borderId="0" pivotButton="0" quotePrefix="0" xfId="0"/>
    <xf numFmtId="164" fontId="0" fillId="0" borderId="0" pivotButton="0" quotePrefix="0" xfId="0"/>
    <xf numFmtId="0" fontId="0" fillId="20" borderId="0" pivotButton="0" quotePrefix="0" xfId="0"/>
    <xf numFmtId="0" fontId="0" fillId="18" borderId="0" pivotButton="0" quotePrefix="0" xfId="0"/>
    <xf numFmtId="0" fontId="0" fillId="21" borderId="0" pivotButton="0" quotePrefix="0" xfId="0"/>
    <xf numFmtId="0" fontId="0" fillId="17" borderId="0" pivotButton="0" quotePrefix="0" xfId="0"/>
    <xf numFmtId="0" fontId="0" fillId="22" borderId="0" pivotButton="0" quotePrefix="0" xfId="0"/>
    <xf numFmtId="0" fontId="38" fillId="0" borderId="0" applyAlignment="1" pivotButton="0" quotePrefix="0" xfId="0">
      <alignment vertical="top" wrapText="1"/>
    </xf>
    <xf numFmtId="1" fontId="0" fillId="6" borderId="4" applyAlignment="1" applyProtection="1" pivotButton="0" quotePrefix="0" xfId="0">
      <alignment vertical="top"/>
      <protection locked="0" hidden="0"/>
    </xf>
    <xf numFmtId="0" fontId="17" fillId="8" borderId="0" applyAlignment="1" pivotButton="0" quotePrefix="0" xfId="0">
      <alignment vertical="top"/>
    </xf>
    <xf numFmtId="0" fontId="0" fillId="4" borderId="0" applyAlignment="1" pivotButton="0" quotePrefix="0" xfId="0">
      <alignment horizontal="right" vertical="top" wrapText="1"/>
    </xf>
    <xf numFmtId="0" fontId="0" fillId="5" borderId="0" applyAlignment="1" applyProtection="1" pivotButton="0" quotePrefix="0" xfId="0">
      <alignment horizontal="right" vertical="top" wrapText="1"/>
      <protection locked="0" hidden="0"/>
    </xf>
    <xf numFmtId="0" fontId="41" fillId="4" borderId="0" applyAlignment="1" pivotButton="0" quotePrefix="0" xfId="0">
      <alignment vertical="top"/>
    </xf>
    <xf numFmtId="1" fontId="0" fillId="6" borderId="4" applyAlignment="1" applyProtection="1" pivotButton="0" quotePrefix="0" xfId="2">
      <alignment vertical="top"/>
      <protection locked="0" hidden="0"/>
    </xf>
    <xf numFmtId="0" fontId="32" fillId="9" borderId="0" applyAlignment="1" pivotButton="0" quotePrefix="0" xfId="0">
      <alignment horizontal="right" vertical="center"/>
    </xf>
    <xf numFmtId="0" fontId="32" fillId="9" borderId="0" applyAlignment="1" pivotButton="0" quotePrefix="0" xfId="0">
      <alignment vertical="center"/>
    </xf>
    <xf numFmtId="0" fontId="0" fillId="23" borderId="0" applyAlignment="1" pivotButton="0" quotePrefix="0" xfId="0">
      <alignment vertical="top"/>
    </xf>
    <xf numFmtId="0" fontId="12" fillId="23" borderId="0" applyAlignment="1" pivotButton="0" quotePrefix="0" xfId="0">
      <alignment vertical="top"/>
    </xf>
    <xf numFmtId="0" fontId="13" fillId="15" borderId="0" applyAlignment="1" pivotButton="0" quotePrefix="0" xfId="0">
      <alignment vertical="center"/>
    </xf>
    <xf numFmtId="9" fontId="0" fillId="5" borderId="0" applyAlignment="1" applyProtection="1" pivotButton="0" quotePrefix="0" xfId="2">
      <alignment vertical="center"/>
      <protection locked="0" hidden="0"/>
    </xf>
    <xf numFmtId="9" fontId="0" fillId="5" borderId="14" applyAlignment="1" applyProtection="1" pivotButton="0" quotePrefix="0" xfId="2">
      <alignment vertical="center"/>
      <protection locked="0" hidden="0"/>
    </xf>
    <xf numFmtId="0" fontId="32" fillId="9" borderId="0" applyAlignment="1" pivotButton="0" quotePrefix="0" xfId="0">
      <alignment horizontal="left" vertical="top" indent="1"/>
    </xf>
    <xf numFmtId="0" fontId="0" fillId="5" borderId="0" applyProtection="1" pivotButton="0" quotePrefix="0" xfId="0">
      <protection locked="0" hidden="0"/>
    </xf>
    <xf numFmtId="0" fontId="2" fillId="4" borderId="0" applyAlignment="1" pivotButton="0" quotePrefix="0" xfId="0">
      <alignment horizontal="right"/>
    </xf>
    <xf numFmtId="0" fontId="21" fillId="4" borderId="0" applyAlignment="1" pivotButton="0" quotePrefix="0" xfId="0">
      <alignment horizontal="left" vertical="top"/>
    </xf>
    <xf numFmtId="9" fontId="0" fillId="5" borderId="0" applyProtection="1" pivotButton="0" quotePrefix="0" xfId="0">
      <protection locked="0" hidden="0"/>
    </xf>
    <xf numFmtId="0" fontId="0" fillId="9" borderId="1" applyAlignment="1" pivotButton="0" quotePrefix="0" xfId="0">
      <alignment vertical="top"/>
    </xf>
    <xf numFmtId="43" fontId="8" fillId="2" borderId="0" applyAlignment="1" pivotButton="0" quotePrefix="0" xfId="1">
      <alignment vertical="center"/>
    </xf>
    <xf numFmtId="43" fontId="0" fillId="6" borderId="4" applyAlignment="1" applyProtection="1" pivotButton="0" quotePrefix="0" xfId="1">
      <alignment vertical="top"/>
      <protection locked="0" hidden="0"/>
    </xf>
    <xf numFmtId="2" fontId="0" fillId="2" borderId="4" applyAlignment="1" pivotButton="0" quotePrefix="0" xfId="0">
      <alignment vertical="top"/>
    </xf>
    <xf numFmtId="0" fontId="0" fillId="0" borderId="0" applyAlignment="1" pivotButton="0" quotePrefix="0" xfId="0">
      <alignment vertical="top"/>
    </xf>
    <xf numFmtId="0" fontId="8" fillId="2" borderId="0" applyAlignment="1" pivotButton="0" quotePrefix="0" xfId="0">
      <alignment horizontal="left" vertical="center"/>
    </xf>
    <xf numFmtId="0" fontId="8" fillId="2" borderId="0" applyAlignment="1" pivotButton="0" quotePrefix="0" xfId="0">
      <alignment vertical="center" wrapText="1"/>
    </xf>
    <xf numFmtId="0" fontId="2" fillId="9" borderId="0" applyAlignment="1" pivotButton="0" quotePrefix="0" xfId="0">
      <alignment horizontal="center" vertical="center"/>
    </xf>
    <xf numFmtId="0" fontId="47" fillId="14" borderId="4" applyAlignment="1" applyProtection="1" pivotButton="0" quotePrefix="0" xfId="0">
      <alignment vertical="center"/>
      <protection locked="0" hidden="0"/>
    </xf>
    <xf numFmtId="0" fontId="47" fillId="14" borderId="13" applyAlignment="1" pivotButton="0" quotePrefix="0" xfId="0">
      <alignment vertical="center"/>
    </xf>
    <xf numFmtId="165" fontId="54" fillId="4" borderId="0" applyAlignment="1" pivotButton="0" quotePrefix="0" xfId="1">
      <alignment vertical="center"/>
    </xf>
    <xf numFmtId="0" fontId="2" fillId="8" borderId="17" applyAlignment="1" pivotButton="0" quotePrefix="0" xfId="0">
      <alignment horizontal="center" vertical="top"/>
    </xf>
    <xf numFmtId="0" fontId="0" fillId="13" borderId="0" applyAlignment="1" pivotButton="0" quotePrefix="0" xfId="0">
      <alignment vertical="center"/>
    </xf>
    <xf numFmtId="0" fontId="42" fillId="4" borderId="0" applyAlignment="1" pivotButton="0" quotePrefix="0" xfId="0">
      <alignment wrapText="1"/>
    </xf>
    <xf numFmtId="0" fontId="0" fillId="5" borderId="0" applyAlignment="1" applyProtection="1" pivotButton="0" quotePrefix="0" xfId="0">
      <alignment vertical="top"/>
      <protection locked="0" hidden="0"/>
    </xf>
    <xf numFmtId="0" fontId="2" fillId="3" borderId="0" applyAlignment="1" applyProtection="1" pivotButton="0" quotePrefix="0" xfId="0">
      <alignment vertical="top" wrapText="1"/>
      <protection locked="0" hidden="0"/>
    </xf>
    <xf numFmtId="0" fontId="2" fillId="8" borderId="0" applyAlignment="1" pivotButton="0" quotePrefix="0" xfId="0">
      <alignment horizontal="center" vertical="top" wrapText="1"/>
    </xf>
    <xf numFmtId="0" fontId="47" fillId="14" borderId="8" applyAlignment="1" applyProtection="1" pivotButton="0" quotePrefix="0" xfId="0">
      <alignment vertical="center"/>
      <protection locked="0" hidden="0"/>
    </xf>
    <xf numFmtId="9" fontId="45" fillId="14" borderId="16" applyAlignment="1" applyProtection="1" pivotButton="0" quotePrefix="0" xfId="0">
      <alignment horizontal="center" vertical="center"/>
      <protection locked="0" hidden="0"/>
    </xf>
    <xf numFmtId="0" fontId="46" fillId="14" borderId="0" applyAlignment="1" pivotButton="0" quotePrefix="0" xfId="0">
      <alignment horizontal="right" vertical="center"/>
    </xf>
    <xf numFmtId="0" fontId="0" fillId="14" borderId="4" applyAlignment="1" pivotButton="0" quotePrefix="0" xfId="0">
      <alignment vertical="top"/>
    </xf>
    <xf numFmtId="0" fontId="25" fillId="14" borderId="4" applyAlignment="1" pivotButton="0" quotePrefix="0" xfId="0">
      <alignment vertical="center"/>
    </xf>
    <xf numFmtId="0" fontId="15" fillId="4" borderId="0" applyAlignment="1" pivotButton="0" quotePrefix="0" xfId="0">
      <alignment horizontal="center" vertical="top"/>
    </xf>
    <xf numFmtId="0" fontId="25" fillId="14" borderId="0" applyAlignment="1" pivotButton="0" quotePrefix="0" xfId="0">
      <alignment horizontal="right" vertical="center"/>
    </xf>
    <xf numFmtId="0" fontId="60" fillId="25" borderId="0" applyAlignment="1" applyProtection="1" pivotButton="0" quotePrefix="0" xfId="0">
      <alignment vertical="center"/>
      <protection locked="0" hidden="0"/>
    </xf>
    <xf numFmtId="0" fontId="21" fillId="25" borderId="0" applyAlignment="1" applyProtection="1" pivotButton="0" quotePrefix="0" xfId="0">
      <alignment vertical="top"/>
      <protection locked="0" hidden="0"/>
    </xf>
    <xf numFmtId="0" fontId="0" fillId="25" borderId="0" applyAlignment="1" applyProtection="1" pivotButton="0" quotePrefix="0" xfId="0">
      <alignment vertical="top"/>
      <protection locked="0" hidden="0"/>
    </xf>
    <xf numFmtId="0" fontId="5" fillId="10" borderId="14" applyAlignment="1" applyProtection="1" pivotButton="0" quotePrefix="0" xfId="0">
      <alignment vertical="center" wrapText="1"/>
      <protection locked="0" hidden="0"/>
    </xf>
    <xf numFmtId="0" fontId="0" fillId="0" borderId="0" applyAlignment="1" pivotButton="0" quotePrefix="0" xfId="0">
      <alignment horizontal="right" vertical="top"/>
    </xf>
    <xf numFmtId="0" fontId="64" fillId="0" borderId="0" applyAlignment="1" pivotButton="0" quotePrefix="0" xfId="0">
      <alignment horizontal="right" vertical="center"/>
    </xf>
    <xf numFmtId="0" fontId="2" fillId="14" borderId="0" applyAlignment="1" pivotButton="0" quotePrefix="0" xfId="0">
      <alignment horizontal="right" vertical="top"/>
    </xf>
    <xf numFmtId="0" fontId="2" fillId="0" borderId="0" applyAlignment="1" pivotButton="0" quotePrefix="0" xfId="0">
      <alignment horizontal="right"/>
    </xf>
    <xf numFmtId="9" fontId="14" fillId="8" borderId="15" applyAlignment="1" pivotButton="0" quotePrefix="0" xfId="0">
      <alignment vertical="top"/>
    </xf>
    <xf numFmtId="164" fontId="0" fillId="5" borderId="9" applyAlignment="1" applyProtection="1" pivotButton="0" quotePrefix="0" xfId="2">
      <alignment horizontal="right" vertical="top"/>
      <protection locked="0" hidden="0"/>
    </xf>
    <xf numFmtId="164" fontId="0" fillId="14" borderId="9" applyAlignment="1" applyProtection="1" pivotButton="0" quotePrefix="0" xfId="2">
      <alignment horizontal="right" vertical="top"/>
      <protection locked="0" hidden="0"/>
    </xf>
    <xf numFmtId="164" fontId="0" fillId="5" borderId="10" applyAlignment="1" applyProtection="1" pivotButton="0" quotePrefix="0" xfId="2">
      <alignment horizontal="right" vertical="top"/>
      <protection locked="0" hidden="0"/>
    </xf>
    <xf numFmtId="0" fontId="70" fillId="0" borderId="0" pivotButton="0" quotePrefix="0" xfId="0"/>
    <xf numFmtId="0" fontId="41" fillId="0" borderId="0" pivotButton="0" quotePrefix="0" xfId="0"/>
    <xf numFmtId="0" fontId="21" fillId="0" borderId="0" applyAlignment="1" pivotButton="0" quotePrefix="0" xfId="0">
      <alignment vertical="top" wrapText="1"/>
    </xf>
    <xf numFmtId="0" fontId="65" fillId="0" borderId="0" applyAlignment="1" pivotButton="0" quotePrefix="0" xfId="0">
      <alignment horizontal="center" vertical="top"/>
    </xf>
    <xf numFmtId="0" fontId="26" fillId="0" borderId="0" applyAlignment="1" pivotButton="0" quotePrefix="0" xfId="0">
      <alignment vertical="top"/>
    </xf>
    <xf numFmtId="0" fontId="20" fillId="0" borderId="0" applyAlignment="1" pivotButton="0" quotePrefix="0" xfId="3">
      <alignment vertical="top"/>
    </xf>
    <xf numFmtId="0" fontId="73" fillId="2" borderId="0" applyAlignment="1" applyProtection="1" pivotButton="0" quotePrefix="0" xfId="0">
      <alignment vertical="center" wrapText="1"/>
      <protection locked="0" hidden="0"/>
    </xf>
    <xf numFmtId="0" fontId="8" fillId="13" borderId="0" applyAlignment="1" pivotButton="0" quotePrefix="0" xfId="0">
      <alignment vertical="center" wrapText="1"/>
    </xf>
    <xf numFmtId="0" fontId="32" fillId="9" borderId="0" applyAlignment="1" pivotButton="0" quotePrefix="0" xfId="0">
      <alignment vertical="top"/>
    </xf>
    <xf numFmtId="0" fontId="25" fillId="14" borderId="13" applyAlignment="1" pivotButton="0" quotePrefix="0" xfId="0">
      <alignment vertical="center"/>
    </xf>
    <xf numFmtId="0" fontId="25" fillId="14" borderId="12" applyAlignment="1" pivotButton="0" quotePrefix="0" xfId="0">
      <alignment vertical="center"/>
    </xf>
    <xf numFmtId="0" fontId="0" fillId="14" borderId="0" applyAlignment="1" pivotButton="0" quotePrefix="0" xfId="0">
      <alignment vertical="top" wrapText="1"/>
    </xf>
    <xf numFmtId="0" fontId="10" fillId="14" borderId="0" applyAlignment="1" pivotButton="0" quotePrefix="0" xfId="0">
      <alignment horizontal="right"/>
    </xf>
    <xf numFmtId="0" fontId="2" fillId="8" borderId="2" applyAlignment="1" pivotButton="0" quotePrefix="0" xfId="0">
      <alignment vertical="top"/>
    </xf>
    <xf numFmtId="0" fontId="25" fillId="14" borderId="8" applyAlignment="1" pivotButton="0" quotePrefix="0" xfId="0">
      <alignment vertical="center"/>
    </xf>
    <xf numFmtId="0" fontId="62" fillId="4" borderId="0" applyAlignment="1" pivotButton="0" quotePrefix="0" xfId="0">
      <alignment vertical="top"/>
    </xf>
    <xf numFmtId="164" fontId="0" fillId="5" borderId="20" applyAlignment="1" applyProtection="1" pivotButton="0" quotePrefix="0" xfId="0">
      <alignment horizontal="left" vertical="top"/>
      <protection locked="0" hidden="0"/>
    </xf>
    <xf numFmtId="0" fontId="0" fillId="4" borderId="14" applyAlignment="1" applyProtection="1" pivotButton="0" quotePrefix="0" xfId="0">
      <alignment vertical="top"/>
      <protection locked="0" hidden="0"/>
    </xf>
    <xf numFmtId="0" fontId="0" fillId="19" borderId="0" applyAlignment="1" pivotButton="0" quotePrefix="0" xfId="0">
      <alignment vertical="top"/>
    </xf>
    <xf numFmtId="9" fontId="0" fillId="5" borderId="9" applyAlignment="1" applyProtection="1" pivotButton="0" quotePrefix="0" xfId="0">
      <alignment vertical="top"/>
      <protection locked="0" hidden="0"/>
    </xf>
    <xf numFmtId="9" fontId="0" fillId="5" borderId="11" applyAlignment="1" applyProtection="1" pivotButton="0" quotePrefix="0" xfId="0">
      <alignment vertical="top"/>
      <protection locked="0" hidden="0"/>
    </xf>
    <xf numFmtId="0" fontId="75" fillId="14" borderId="4" applyAlignment="1" pivotButton="0" quotePrefix="0" xfId="0">
      <alignment horizontal="right" vertical="center"/>
    </xf>
    <xf numFmtId="0" fontId="74" fillId="14" borderId="0" applyAlignment="1" pivotButton="0" quotePrefix="0" xfId="0">
      <alignment vertical="center"/>
    </xf>
    <xf numFmtId="0" fontId="2" fillId="26" borderId="0" applyAlignment="1" pivotButton="0" quotePrefix="0" xfId="0">
      <alignment vertical="top"/>
    </xf>
    <xf numFmtId="0" fontId="2" fillId="26" borderId="0" applyAlignment="1" pivotButton="0" quotePrefix="0" xfId="0">
      <alignment vertical="top" wrapText="1"/>
    </xf>
    <xf numFmtId="9" fontId="0" fillId="5" borderId="9" applyAlignment="1" applyProtection="1" pivotButton="0" quotePrefix="0" xfId="2">
      <alignment horizontal="right" vertical="top"/>
      <protection locked="0" hidden="0"/>
    </xf>
    <xf numFmtId="9" fontId="0" fillId="14" borderId="9" applyAlignment="1" applyProtection="1" pivotButton="0" quotePrefix="0" xfId="2">
      <alignment horizontal="right" vertical="top"/>
      <protection locked="0" hidden="0"/>
    </xf>
    <xf numFmtId="0" fontId="0" fillId="4" borderId="0" applyAlignment="1" applyProtection="1" pivotButton="0" quotePrefix="0" xfId="0">
      <alignment horizontal="right" vertical="top"/>
      <protection locked="0" hidden="0"/>
    </xf>
    <xf numFmtId="9" fontId="40" fillId="5" borderId="0" applyAlignment="1" applyProtection="1" pivotButton="0" quotePrefix="0" xfId="0">
      <alignment horizontal="right" vertical="top"/>
      <protection locked="0" hidden="0"/>
    </xf>
    <xf numFmtId="9" fontId="0" fillId="5" borderId="0" applyAlignment="1" applyProtection="1" pivotButton="0" quotePrefix="0" xfId="0">
      <alignment vertical="top"/>
      <protection locked="0" hidden="0"/>
    </xf>
    <xf numFmtId="9" fontId="0" fillId="6" borderId="4" applyAlignment="1" applyProtection="1" pivotButton="0" quotePrefix="0" xfId="0">
      <alignment vertical="top" wrapText="1"/>
      <protection locked="0" hidden="0"/>
    </xf>
    <xf numFmtId="0" fontId="0" fillId="6" borderId="0" applyAlignment="1" pivotButton="0" quotePrefix="0" xfId="0">
      <alignment horizontal="left" vertical="top"/>
    </xf>
    <xf numFmtId="0" fontId="0" fillId="23" borderId="0" applyAlignment="1" pivotButton="0" quotePrefix="0" xfId="0">
      <alignment horizontal="left" vertical="top"/>
    </xf>
    <xf numFmtId="0" fontId="0" fillId="14" borderId="0" applyAlignment="1" pivotButton="0" quotePrefix="0" xfId="0">
      <alignment horizontal="left" vertical="top"/>
    </xf>
    <xf numFmtId="0" fontId="44" fillId="14" borderId="0" applyAlignment="1" pivotButton="0" quotePrefix="0" xfId="0">
      <alignment horizontal="left" vertical="center"/>
    </xf>
    <xf numFmtId="0" fontId="3" fillId="6" borderId="0" applyAlignment="1" pivotButton="0" quotePrefix="0" xfId="0">
      <alignment horizontal="left" vertical="top"/>
    </xf>
    <xf numFmtId="0" fontId="0" fillId="9" borderId="0" applyAlignment="1" pivotButton="0" quotePrefix="0" xfId="0">
      <alignment horizontal="left" vertical="top"/>
    </xf>
    <xf numFmtId="0" fontId="17" fillId="8" borderId="0" applyAlignment="1" pivotButton="0" quotePrefix="0" xfId="0">
      <alignment horizontal="left" vertical="top"/>
    </xf>
    <xf numFmtId="0" fontId="6" fillId="10" borderId="0" applyAlignment="1" applyProtection="1" pivotButton="0" quotePrefix="0" xfId="0">
      <alignment horizontal="left" vertical="center"/>
      <protection locked="0" hidden="0"/>
    </xf>
    <xf numFmtId="0" fontId="0" fillId="4" borderId="0" applyAlignment="1" pivotButton="0" quotePrefix="0" xfId="0">
      <alignment horizontal="left" vertical="top"/>
    </xf>
    <xf numFmtId="0" fontId="0" fillId="10" borderId="0" applyAlignment="1" pivotButton="0" quotePrefix="0" xfId="0">
      <alignment horizontal="left" vertical="top"/>
    </xf>
    <xf numFmtId="0" fontId="2" fillId="26" borderId="0" applyAlignment="1" pivotButton="0" quotePrefix="0" xfId="0">
      <alignment horizontal="left" vertical="top"/>
    </xf>
    <xf numFmtId="0" fontId="0" fillId="6" borderId="0" applyAlignment="1" applyProtection="1" pivotButton="0" quotePrefix="0" xfId="0">
      <alignment horizontal="left" vertical="top"/>
      <protection locked="0" hidden="0"/>
    </xf>
    <xf numFmtId="0" fontId="0" fillId="4" borderId="0" applyAlignment="1" applyProtection="1" pivotButton="0" quotePrefix="0" xfId="0">
      <alignment horizontal="left" vertical="top"/>
      <protection locked="0" hidden="0"/>
    </xf>
    <xf numFmtId="0" fontId="2" fillId="4" borderId="10" applyAlignment="1" applyProtection="1" pivotButton="0" quotePrefix="0" xfId="0">
      <alignment horizontal="center" vertical="top"/>
      <protection locked="0" hidden="0"/>
    </xf>
    <xf numFmtId="0" fontId="2" fillId="4" borderId="10" applyAlignment="1" applyProtection="1" pivotButton="0" quotePrefix="0" xfId="0">
      <alignment vertical="top"/>
      <protection locked="0" hidden="0"/>
    </xf>
    <xf numFmtId="0" fontId="2" fillId="3" borderId="0" applyProtection="1" pivotButton="0" quotePrefix="0" xfId="0">
      <protection locked="0" hidden="0"/>
    </xf>
    <xf numFmtId="0" fontId="0" fillId="2" borderId="0" applyProtection="1" pivotButton="0" quotePrefix="0" xfId="0">
      <protection locked="0" hidden="0"/>
    </xf>
    <xf numFmtId="9" fontId="0" fillId="2" borderId="12" applyAlignment="1" applyProtection="1" pivotButton="0" quotePrefix="0" xfId="2">
      <alignment horizontal="left"/>
      <protection locked="0" hidden="0"/>
    </xf>
    <xf numFmtId="0" fontId="48" fillId="14" borderId="0" applyAlignment="1" applyProtection="1" pivotButton="0" quotePrefix="0" xfId="0">
      <alignment horizontal="left" vertical="center"/>
      <protection locked="0" hidden="0"/>
    </xf>
    <xf numFmtId="0" fontId="16" fillId="14" borderId="0" applyAlignment="1" applyProtection="1" pivotButton="0" quotePrefix="0" xfId="0">
      <alignment horizontal="left"/>
      <protection locked="0" hidden="0"/>
    </xf>
    <xf numFmtId="0" fontId="13" fillId="15" borderId="0" applyAlignment="1" applyProtection="1" pivotButton="0" quotePrefix="0" xfId="0">
      <alignment vertical="center"/>
      <protection locked="0" hidden="0"/>
    </xf>
    <xf numFmtId="0" fontId="11" fillId="14" borderId="0" applyAlignment="1" applyProtection="1" pivotButton="0" quotePrefix="0" xfId="0">
      <alignment horizontal="right" vertical="center"/>
      <protection locked="0" hidden="0"/>
    </xf>
    <xf numFmtId="0" fontId="31" fillId="14" borderId="0" applyAlignment="1" applyProtection="1" pivotButton="0" quotePrefix="0" xfId="0">
      <alignment horizontal="right" vertical="center"/>
      <protection locked="0" hidden="0"/>
    </xf>
    <xf numFmtId="0" fontId="2" fillId="14" borderId="0" applyAlignment="1" applyProtection="1" pivotButton="0" quotePrefix="0" xfId="0">
      <alignment horizontal="right" vertical="top"/>
      <protection locked="0" hidden="0"/>
    </xf>
    <xf numFmtId="165" fontId="23" fillId="14" borderId="0" applyAlignment="1" applyProtection="1" pivotButton="0" quotePrefix="0" xfId="1">
      <alignment horizontal="left" vertical="center"/>
      <protection locked="0" hidden="0"/>
    </xf>
    <xf numFmtId="0" fontId="48" fillId="14" borderId="8" applyAlignment="1" applyProtection="1" pivotButton="0" quotePrefix="0" xfId="0">
      <alignment horizontal="right" vertical="center"/>
      <protection locked="0" hidden="0"/>
    </xf>
    <xf numFmtId="0" fontId="0" fillId="14" borderId="0" applyAlignment="1" applyProtection="1" pivotButton="0" quotePrefix="0" xfId="0">
      <alignment vertical="top"/>
      <protection locked="0" hidden="0"/>
    </xf>
    <xf numFmtId="165" fontId="43" fillId="14" borderId="0" applyAlignment="1" applyProtection="1" pivotButton="0" quotePrefix="0" xfId="1">
      <alignment horizontal="left" vertical="center"/>
      <protection locked="0" hidden="0"/>
    </xf>
    <xf numFmtId="0" fontId="48" fillId="14" borderId="4" applyAlignment="1" applyProtection="1" pivotButton="0" quotePrefix="0" xfId="0">
      <alignment horizontal="right" vertical="center"/>
      <protection locked="0" hidden="0"/>
    </xf>
    <xf numFmtId="0" fontId="32" fillId="9" borderId="0" applyAlignment="1" applyProtection="1" pivotButton="0" quotePrefix="0" xfId="0">
      <alignment horizontal="right" vertical="top"/>
      <protection locked="0" hidden="0"/>
    </xf>
    <xf numFmtId="0" fontId="58" fillId="9" borderId="0" applyAlignment="1" applyProtection="1" pivotButton="0" quotePrefix="0" xfId="3">
      <alignment horizontal="center" vertical="top"/>
      <protection locked="0" hidden="0"/>
    </xf>
    <xf numFmtId="0" fontId="32" fillId="9" borderId="0" applyAlignment="1" applyProtection="1" pivotButton="0" quotePrefix="0" xfId="3">
      <alignment horizontal="right" vertical="top"/>
      <protection locked="0" hidden="0"/>
    </xf>
    <xf numFmtId="0" fontId="30" fillId="11" borderId="0" applyAlignment="1" applyProtection="1" pivotButton="0" quotePrefix="0" xfId="0">
      <alignment horizontal="center" vertical="top" textRotation="90"/>
      <protection locked="0" hidden="0"/>
    </xf>
    <xf numFmtId="0" fontId="2" fillId="8" borderId="0" applyAlignment="1" applyProtection="1" pivotButton="0" quotePrefix="0" xfId="0">
      <alignment horizontal="center" vertical="top"/>
      <protection locked="0" hidden="0"/>
    </xf>
    <xf numFmtId="0" fontId="2" fillId="8" borderId="15" applyAlignment="1" applyProtection="1" pivotButton="0" quotePrefix="0" xfId="0">
      <alignment horizontal="center" vertical="top"/>
      <protection locked="0" hidden="0"/>
    </xf>
    <xf numFmtId="9" fontId="14" fillId="8" borderId="1" applyAlignment="1" applyProtection="1" pivotButton="0" quotePrefix="0" xfId="0">
      <alignment horizontal="center" vertical="center"/>
      <protection locked="0" hidden="0"/>
    </xf>
    <xf numFmtId="0" fontId="2" fillId="3" borderId="0" applyAlignment="1" applyProtection="1" pivotButton="0" quotePrefix="0" xfId="0">
      <alignment horizontal="center" vertical="top"/>
      <protection locked="0" hidden="0"/>
    </xf>
    <xf numFmtId="0" fontId="2" fillId="3" borderId="15" applyAlignment="1" applyProtection="1" pivotButton="0" quotePrefix="0" xfId="0">
      <alignment horizontal="center" vertical="top"/>
      <protection locked="0" hidden="0"/>
    </xf>
    <xf numFmtId="0" fontId="2" fillId="3" borderId="1" applyAlignment="1" applyProtection="1" pivotButton="0" quotePrefix="0" xfId="0">
      <alignment horizontal="center" vertical="top"/>
      <protection locked="0" hidden="0"/>
    </xf>
    <xf numFmtId="0" fontId="2" fillId="3" borderId="0" applyAlignment="1" applyProtection="1" pivotButton="0" quotePrefix="0" xfId="0">
      <alignment horizontal="left" vertical="top" wrapText="1"/>
      <protection locked="0" hidden="0"/>
    </xf>
    <xf numFmtId="0" fontId="2" fillId="3" borderId="0" applyAlignment="1" applyProtection="1" pivotButton="0" quotePrefix="0" xfId="0">
      <alignment horizontal="center" vertical="top" wrapText="1"/>
      <protection locked="0" hidden="0"/>
    </xf>
    <xf numFmtId="0" fontId="2" fillId="3" borderId="17" applyAlignment="1" applyProtection="1" pivotButton="0" quotePrefix="0" xfId="0">
      <alignment horizontal="center" vertical="top"/>
      <protection locked="0" hidden="0"/>
    </xf>
    <xf numFmtId="0" fontId="55" fillId="4" borderId="0" applyAlignment="1" applyProtection="1" pivotButton="0" quotePrefix="0" xfId="3">
      <alignment horizontal="center" vertical="top"/>
      <protection locked="0" hidden="0"/>
    </xf>
    <xf numFmtId="1" fontId="8" fillId="2" borderId="0" applyAlignment="1" applyProtection="1" pivotButton="0" quotePrefix="0" xfId="0">
      <alignment vertical="center"/>
      <protection locked="0" hidden="0"/>
    </xf>
    <xf numFmtId="0" fontId="0" fillId="0" borderId="0" applyProtection="1" pivotButton="0" quotePrefix="0" xfId="0">
      <protection locked="0" hidden="0"/>
    </xf>
    <xf numFmtId="43" fontId="8" fillId="2" borderId="0" applyAlignment="1" applyProtection="1" pivotButton="0" quotePrefix="0" xfId="1">
      <alignment vertical="center"/>
      <protection locked="0" hidden="0"/>
    </xf>
    <xf numFmtId="0" fontId="11" fillId="6" borderId="0" applyAlignment="1" applyProtection="1" pivotButton="0" quotePrefix="0" xfId="0">
      <alignment vertical="top" wrapText="1"/>
      <protection locked="0" hidden="0"/>
    </xf>
    <xf numFmtId="1" fontId="53" fillId="2" borderId="0" applyAlignment="1" applyProtection="1" pivotButton="0" quotePrefix="0" xfId="0">
      <alignment vertical="center"/>
      <protection locked="0" hidden="0"/>
    </xf>
    <xf numFmtId="0" fontId="53" fillId="2" borderId="0" applyAlignment="1" applyProtection="1" pivotButton="0" quotePrefix="0" xfId="0">
      <alignment horizontal="left" vertical="center"/>
      <protection locked="0" hidden="0"/>
    </xf>
    <xf numFmtId="0" fontId="0" fillId="6" borderId="4" applyAlignment="1" applyProtection="1" pivotButton="0" quotePrefix="0" xfId="0">
      <alignment horizontal="left" vertical="top"/>
      <protection locked="0" hidden="0"/>
    </xf>
    <xf numFmtId="43" fontId="0" fillId="12" borderId="4" applyAlignment="1" applyProtection="1" pivotButton="0" quotePrefix="0" xfId="1">
      <alignment vertical="top"/>
      <protection locked="0" hidden="0"/>
    </xf>
    <xf numFmtId="0" fontId="17" fillId="8" borderId="0" applyAlignment="1" applyProtection="1" pivotButton="0" quotePrefix="0" xfId="0">
      <alignment horizontal="left" vertical="center"/>
      <protection locked="0" hidden="0"/>
    </xf>
    <xf numFmtId="0" fontId="2" fillId="24" borderId="0" applyAlignment="1" applyProtection="1" pivotButton="0" quotePrefix="0" xfId="0">
      <alignment horizontal="left" vertical="top"/>
      <protection locked="0" hidden="0"/>
    </xf>
    <xf numFmtId="0" fontId="2" fillId="24" borderId="0" applyAlignment="1" applyProtection="1" pivotButton="0" quotePrefix="0" xfId="0">
      <alignment vertical="top" wrapText="1"/>
      <protection locked="0" hidden="0"/>
    </xf>
    <xf numFmtId="0" fontId="2" fillId="24" borderId="0" applyAlignment="1" applyProtection="1" pivotButton="0" quotePrefix="0" xfId="0">
      <alignment horizontal="right" vertical="top" wrapText="1"/>
      <protection locked="0" hidden="0"/>
    </xf>
    <xf numFmtId="0" fontId="2" fillId="24" borderId="0" applyAlignment="1" applyProtection="1" pivotButton="0" quotePrefix="0" xfId="0">
      <alignment horizontal="right" vertical="top"/>
      <protection locked="0" hidden="0"/>
    </xf>
    <xf numFmtId="0" fontId="2" fillId="4" borderId="0" applyAlignment="1" applyProtection="1" pivotButton="0" quotePrefix="0" xfId="0">
      <alignment horizontal="right" vertical="top"/>
      <protection locked="0" hidden="0"/>
    </xf>
    <xf numFmtId="0" fontId="57" fillId="4" borderId="0" applyAlignment="1" applyProtection="1" pivotButton="0" quotePrefix="0" xfId="3">
      <alignment horizontal="left" vertical="center"/>
      <protection locked="0" hidden="0"/>
    </xf>
    <xf numFmtId="0" fontId="2" fillId="26" borderId="0" applyAlignment="1" applyProtection="1" pivotButton="0" quotePrefix="0" xfId="0">
      <alignment horizontal="left" vertical="top"/>
      <protection locked="0" hidden="0"/>
    </xf>
    <xf numFmtId="0" fontId="2" fillId="26" borderId="0" applyAlignment="1" applyProtection="1" pivotButton="0" quotePrefix="0" xfId="0">
      <alignment vertical="top" wrapText="1"/>
      <protection locked="0" hidden="0"/>
    </xf>
    <xf numFmtId="0" fontId="2" fillId="26" borderId="0" applyAlignment="1" applyProtection="1" pivotButton="0" quotePrefix="0" xfId="0">
      <alignment vertical="top"/>
      <protection locked="0" hidden="0"/>
    </xf>
    <xf numFmtId="0" fontId="0" fillId="24" borderId="0" applyAlignment="1" applyProtection="1" pivotButton="0" quotePrefix="0" xfId="0">
      <alignment horizontal="left" vertical="top"/>
      <protection locked="0" hidden="0"/>
    </xf>
    <xf numFmtId="0" fontId="0" fillId="24" borderId="0" applyAlignment="1" applyProtection="1" pivotButton="0" quotePrefix="0" xfId="0">
      <alignment vertical="top" wrapText="1"/>
      <protection locked="0" hidden="0"/>
    </xf>
    <xf numFmtId="165" fontId="2" fillId="24" borderId="0" applyAlignment="1" applyProtection="1" pivotButton="0" quotePrefix="0" xfId="1">
      <alignment vertical="top"/>
      <protection locked="0" hidden="0"/>
    </xf>
    <xf numFmtId="1" fontId="0" fillId="4" borderId="11" applyAlignment="1" applyProtection="1" pivotButton="0" quotePrefix="0" xfId="0">
      <alignment vertical="top"/>
      <protection locked="0" hidden="0"/>
    </xf>
    <xf numFmtId="164" fontId="0" fillId="4" borderId="11" applyAlignment="1" applyProtection="1" pivotButton="0" quotePrefix="0" xfId="0">
      <alignment vertical="top"/>
      <protection locked="0" hidden="0"/>
    </xf>
    <xf numFmtId="165" fontId="5" fillId="19" borderId="8" applyAlignment="1" applyProtection="1" pivotButton="0" quotePrefix="0" xfId="1">
      <alignment vertical="top"/>
      <protection locked="0" hidden="0"/>
    </xf>
    <xf numFmtId="1" fontId="5" fillId="19" borderId="8" applyAlignment="1" applyProtection="1" pivotButton="0" quotePrefix="0" xfId="0">
      <alignment vertical="top"/>
      <protection locked="0" hidden="0"/>
    </xf>
    <xf numFmtId="0" fontId="2" fillId="4" borderId="13" applyAlignment="1" applyProtection="1" pivotButton="0" quotePrefix="0" xfId="0">
      <alignment horizontal="right" vertical="top" wrapText="1"/>
      <protection locked="0" hidden="0"/>
    </xf>
    <xf numFmtId="0" fontId="2" fillId="4" borderId="20" applyAlignment="1" applyProtection="1" pivotButton="0" quotePrefix="0" xfId="0">
      <alignment horizontal="right" vertical="top"/>
      <protection locked="0" hidden="0"/>
    </xf>
    <xf numFmtId="15" fontId="0" fillId="4" borderId="9" applyAlignment="1" applyProtection="1" pivotButton="0" quotePrefix="0" xfId="0">
      <alignment vertical="top" wrapText="1"/>
      <protection locked="0" hidden="0"/>
    </xf>
    <xf numFmtId="15" fontId="0" fillId="4" borderId="11" applyAlignment="1" applyProtection="1" pivotButton="0" quotePrefix="0" xfId="0">
      <alignment vertical="top" wrapText="1"/>
      <protection locked="0" hidden="0"/>
    </xf>
    <xf numFmtId="15" fontId="0" fillId="4" borderId="16" applyAlignment="1" applyProtection="1" pivotButton="0" quotePrefix="0" xfId="0">
      <alignment vertical="top" wrapText="1"/>
      <protection locked="0" hidden="0"/>
    </xf>
    <xf numFmtId="15" fontId="2" fillId="4" borderId="10" applyAlignment="1" applyProtection="1" pivotButton="0" quotePrefix="0" xfId="0">
      <alignment vertical="top" wrapText="1"/>
      <protection locked="0" hidden="0"/>
    </xf>
    <xf numFmtId="0" fontId="34" fillId="19" borderId="0" applyAlignment="1" applyProtection="1" pivotButton="0" quotePrefix="0" xfId="0">
      <alignment horizontal="right" vertical="top"/>
      <protection locked="0" hidden="0"/>
    </xf>
    <xf numFmtId="1" fontId="36" fillId="19" borderId="0" applyAlignment="1" applyProtection="1" pivotButton="0" quotePrefix="0" xfId="0">
      <alignment vertical="top"/>
      <protection locked="0" hidden="0"/>
    </xf>
    <xf numFmtId="0" fontId="35" fillId="19" borderId="0" applyAlignment="1" applyProtection="1" pivotButton="0" quotePrefix="0" xfId="0">
      <alignment vertical="top"/>
      <protection locked="0" hidden="0"/>
    </xf>
    <xf numFmtId="0" fontId="34" fillId="19" borderId="0" applyAlignment="1" applyProtection="1" pivotButton="0" quotePrefix="0" xfId="0">
      <alignment horizontal="right" vertical="center"/>
      <protection locked="0" hidden="0"/>
    </xf>
    <xf numFmtId="0" fontId="20" fillId="4" borderId="0" applyAlignment="1" applyProtection="1" pivotButton="0" quotePrefix="0" xfId="3">
      <alignment vertical="top" wrapText="1"/>
      <protection locked="0" hidden="0"/>
    </xf>
    <xf numFmtId="0" fontId="0" fillId="8" borderId="0" applyAlignment="1" applyProtection="1" pivotButton="0" quotePrefix="0" xfId="0">
      <alignment horizontal="right" vertical="center"/>
      <protection locked="0" hidden="0"/>
    </xf>
    <xf numFmtId="0" fontId="40" fillId="4" borderId="0" applyAlignment="1" applyProtection="1" pivotButton="0" quotePrefix="0" xfId="0">
      <alignment horizontal="right" vertical="top" wrapText="1"/>
      <protection locked="0" hidden="0"/>
    </xf>
    <xf numFmtId="0" fontId="2" fillId="4" borderId="0" applyAlignment="1" applyProtection="1" pivotButton="0" quotePrefix="0" xfId="0">
      <alignment horizontal="right"/>
      <protection locked="0" hidden="0"/>
    </xf>
    <xf numFmtId="0" fontId="40" fillId="4" borderId="0" applyAlignment="1" applyProtection="1" pivotButton="0" quotePrefix="0" xfId="0">
      <alignment horizontal="right" vertical="top"/>
      <protection locked="0" hidden="0"/>
    </xf>
    <xf numFmtId="0" fontId="40" fillId="4" borderId="0" applyAlignment="1" applyProtection="1" pivotButton="0" quotePrefix="0" xfId="0">
      <alignment horizontal="left" vertical="top"/>
      <protection locked="0" hidden="0"/>
    </xf>
    <xf numFmtId="0" fontId="41" fillId="4" borderId="0" applyAlignment="1" applyProtection="1" pivotButton="0" quotePrefix="0" xfId="0">
      <alignment horizontal="right" vertical="top"/>
      <protection locked="0" hidden="0"/>
    </xf>
    <xf numFmtId="0" fontId="21" fillId="4" borderId="0" applyAlignment="1" applyProtection="1" pivotButton="0" quotePrefix="0" xfId="0">
      <alignment horizontal="left" vertical="top"/>
      <protection locked="0" hidden="0"/>
    </xf>
    <xf numFmtId="0" fontId="41" fillId="4" borderId="0" applyAlignment="1" applyProtection="1" pivotButton="0" quotePrefix="0" xfId="0">
      <alignment vertical="top"/>
      <protection locked="0" hidden="0"/>
    </xf>
    <xf numFmtId="0" fontId="49" fillId="4" borderId="0" applyAlignment="1" applyProtection="1" pivotButton="0" quotePrefix="0" xfId="0">
      <alignment horizontal="right"/>
      <protection locked="0" hidden="0"/>
    </xf>
    <xf numFmtId="0" fontId="0" fillId="4" borderId="0" applyAlignment="1" applyProtection="1" pivotButton="0" quotePrefix="0" xfId="0">
      <alignment horizontal="right"/>
      <protection locked="0" hidden="0"/>
    </xf>
    <xf numFmtId="0" fontId="2" fillId="2" borderId="0" applyAlignment="1" applyProtection="1" pivotButton="0" quotePrefix="0" xfId="0">
      <alignment horizontal="right"/>
      <protection locked="0" hidden="0"/>
    </xf>
    <xf numFmtId="0" fontId="2" fillId="0" borderId="0" applyProtection="1" pivotButton="0" quotePrefix="0" xfId="0">
      <protection locked="0" hidden="0"/>
    </xf>
    <xf numFmtId="0" fontId="39" fillId="0" borderId="0" applyAlignment="1" applyProtection="1" pivotButton="0" quotePrefix="0" xfId="0">
      <alignment horizontal="right"/>
      <protection locked="0" hidden="0"/>
    </xf>
    <xf numFmtId="0" fontId="37" fillId="0" borderId="0" applyAlignment="1" applyProtection="1" pivotButton="0" quotePrefix="0" xfId="0">
      <alignment vertical="top"/>
      <protection locked="0" hidden="0"/>
    </xf>
    <xf numFmtId="0" fontId="2" fillId="2" borderId="0" applyAlignment="1" applyProtection="1" pivotButton="0" quotePrefix="0" xfId="0">
      <alignment horizontal="right" vertical="center"/>
      <protection locked="0" hidden="0"/>
    </xf>
    <xf numFmtId="166" fontId="26" fillId="2" borderId="18" applyAlignment="1" applyProtection="1" pivotButton="0" quotePrefix="0" xfId="0">
      <alignment horizontal="center" textRotation="90"/>
      <protection locked="0" hidden="0"/>
    </xf>
    <xf numFmtId="166" fontId="26" fillId="2" borderId="3" applyAlignment="1" applyProtection="1" pivotButton="0" quotePrefix="0" xfId="0">
      <alignment horizontal="center" textRotation="90"/>
      <protection locked="0" hidden="0"/>
    </xf>
    <xf numFmtId="166" fontId="26" fillId="2" borderId="19" applyAlignment="1" applyProtection="1" pivotButton="0" quotePrefix="0" xfId="0">
      <alignment horizontal="center" textRotation="90"/>
      <protection locked="0" hidden="0"/>
    </xf>
    <xf numFmtId="0" fontId="2" fillId="11" borderId="0" applyAlignment="1" applyProtection="1" pivotButton="0" quotePrefix="0" xfId="0">
      <alignment horizontal="right"/>
      <protection locked="0" hidden="0"/>
    </xf>
    <xf numFmtId="0" fontId="0" fillId="2" borderId="0" applyAlignment="1" applyProtection="1" pivotButton="0" quotePrefix="0" xfId="0">
      <alignment horizontal="right"/>
      <protection locked="0" hidden="0"/>
    </xf>
    <xf numFmtId="164" fontId="0" fillId="0" borderId="0" applyProtection="1" pivotButton="0" quotePrefix="0" xfId="0">
      <protection locked="0" hidden="0"/>
    </xf>
    <xf numFmtId="0" fontId="52" fillId="0" borderId="0" applyAlignment="1" applyProtection="1" pivotButton="0" quotePrefix="0" xfId="0">
      <alignment vertical="top"/>
      <protection locked="0" hidden="0"/>
    </xf>
    <xf numFmtId="0" fontId="0" fillId="0" borderId="0" applyAlignment="1" applyProtection="1" pivotButton="0" quotePrefix="0" xfId="0">
      <alignment vertical="top"/>
      <protection locked="0" hidden="0"/>
    </xf>
    <xf numFmtId="0" fontId="59" fillId="0" borderId="0" applyAlignment="1" applyProtection="1" pivotButton="0" quotePrefix="0" xfId="0">
      <alignment horizontal="right" vertical="top"/>
      <protection locked="0" hidden="0"/>
    </xf>
    <xf numFmtId="0" fontId="21" fillId="0" borderId="0" applyAlignment="1" applyProtection="1" pivotButton="0" quotePrefix="0" xfId="0">
      <alignment vertical="top"/>
      <protection locked="0" hidden="0"/>
    </xf>
    <xf numFmtId="0" fontId="66" fillId="0" borderId="0" applyAlignment="1" applyProtection="1" pivotButton="0" quotePrefix="0" xfId="0">
      <alignment vertical="top"/>
      <protection locked="0" hidden="0"/>
    </xf>
    <xf numFmtId="0" fontId="64" fillId="0" borderId="0" applyAlignment="1" applyProtection="1" pivotButton="0" quotePrefix="0" xfId="0">
      <alignment horizontal="right" vertical="center"/>
      <protection locked="0" hidden="0"/>
    </xf>
    <xf numFmtId="0" fontId="0" fillId="0" borderId="0" applyAlignment="1" applyProtection="1" pivotButton="0" quotePrefix="0" xfId="0">
      <alignment horizontal="right" vertical="top"/>
      <protection locked="0" hidden="0"/>
    </xf>
    <xf numFmtId="0" fontId="72" fillId="0" borderId="0" applyProtection="1" pivotButton="0" quotePrefix="0" xfId="0">
      <protection locked="0" hidden="0"/>
    </xf>
    <xf numFmtId="0" fontId="69" fillId="0" borderId="0" applyProtection="1" pivotButton="0" quotePrefix="0" xfId="0">
      <protection locked="0" hidden="0"/>
    </xf>
    <xf numFmtId="0" fontId="2" fillId="0" borderId="0" applyAlignment="1" applyProtection="1" pivotButton="0" quotePrefix="0" xfId="0">
      <alignment horizontal="right"/>
      <protection locked="0" hidden="0"/>
    </xf>
    <xf numFmtId="0" fontId="68" fillId="0" borderId="0" applyProtection="1" pivotButton="0" quotePrefix="0" xfId="0">
      <protection locked="0" hidden="0"/>
    </xf>
    <xf numFmtId="0" fontId="71" fillId="0" borderId="0" applyProtection="1" pivotButton="0" quotePrefix="0" xfId="0">
      <protection locked="0" hidden="0"/>
    </xf>
    <xf numFmtId="0" fontId="67" fillId="0" borderId="0" applyProtection="1" pivotButton="0" quotePrefix="0" xfId="0">
      <protection locked="0" hidden="0"/>
    </xf>
    <xf numFmtId="0" fontId="2" fillId="9" borderId="0" applyAlignment="1" applyProtection="1" pivotButton="0" quotePrefix="0" xfId="0">
      <alignment horizontal="center" vertical="center"/>
      <protection locked="0" hidden="0"/>
    </xf>
    <xf numFmtId="0" fontId="0" fillId="6" borderId="0" applyAlignment="1" pivotButton="0" quotePrefix="0" xfId="0">
      <alignment vertical="top"/>
    </xf>
    <xf numFmtId="15" fontId="36" fillId="19" borderId="0" applyAlignment="1" applyProtection="1" pivotButton="0" quotePrefix="0" xfId="0">
      <alignment horizontal="left" vertical="center" wrapText="1"/>
      <protection locked="0" hidden="0"/>
    </xf>
    <xf numFmtId="0" fontId="0" fillId="6" borderId="0" applyAlignment="1" applyProtection="1" pivotButton="0" quotePrefix="0" xfId="0">
      <alignment vertical="top"/>
      <protection locked="0" hidden="0"/>
    </xf>
    <xf numFmtId="165" fontId="6" fillId="10" borderId="0" applyAlignment="1" applyProtection="1" pivotButton="0" quotePrefix="0" xfId="1">
      <alignment horizontal="right" vertical="center"/>
      <protection locked="0" hidden="0"/>
    </xf>
    <xf numFmtId="0" fontId="0" fillId="6" borderId="0" applyAlignment="1" applyProtection="1" pivotButton="0" quotePrefix="0" xfId="0">
      <alignment vertical="center"/>
      <protection locked="0" hidden="0"/>
    </xf>
    <xf numFmtId="0" fontId="33" fillId="4" borderId="4" applyAlignment="1" applyProtection="1" pivotButton="0" quotePrefix="0" xfId="0">
      <alignment horizontal="center" vertical="center"/>
      <protection locked="0" hidden="0"/>
    </xf>
    <xf numFmtId="0" fontId="0" fillId="0" borderId="4" pivotButton="0" quotePrefix="0" xfId="0"/>
    <xf numFmtId="0" fontId="8" fillId="2" borderId="0" applyAlignment="1" applyProtection="1" pivotButton="0" quotePrefix="0" xfId="0">
      <alignment horizontal="left" vertical="center"/>
      <protection locked="0" hidden="0"/>
    </xf>
    <xf numFmtId="0" fontId="0" fillId="0" borderId="0" applyProtection="1" pivotButton="0" quotePrefix="0" xfId="0">
      <protection locked="0" hidden="0"/>
    </xf>
    <xf numFmtId="165" fontId="7" fillId="13" borderId="0" applyAlignment="1" applyProtection="1" pivotButton="0" quotePrefix="0" xfId="1">
      <alignment horizontal="left" vertical="center" indent="1"/>
      <protection locked="0" hidden="0"/>
    </xf>
    <xf numFmtId="0" fontId="2" fillId="8" borderId="21" applyAlignment="1" applyProtection="1" pivotButton="0" quotePrefix="0" xfId="0">
      <alignment horizontal="center" vertical="top"/>
      <protection locked="0" hidden="0"/>
    </xf>
    <xf numFmtId="0" fontId="0" fillId="0" borderId="6" pivotButton="0" quotePrefix="0" xfId="0"/>
    <xf numFmtId="0" fontId="0" fillId="0" borderId="5" pivotButton="0" quotePrefix="0" xfId="0"/>
    <xf numFmtId="165" fontId="0" fillId="4" borderId="9" applyAlignment="1" applyProtection="1" pivotButton="0" quotePrefix="0" xfId="1">
      <alignment horizontal="center" vertical="top"/>
      <protection locked="0" hidden="0"/>
    </xf>
    <xf numFmtId="0" fontId="0" fillId="0" borderId="11" pivotButton="0" quotePrefix="0" xfId="0"/>
    <xf numFmtId="2" fontId="8" fillId="13" borderId="0" applyAlignment="1" applyProtection="1" pivotButton="0" quotePrefix="0" xfId="0">
      <alignment horizontal="right" vertical="center"/>
      <protection locked="0" hidden="0"/>
    </xf>
    <xf numFmtId="0" fontId="56" fillId="2" borderId="0" applyAlignment="1" applyProtection="1" pivotButton="0" quotePrefix="0" xfId="3">
      <alignment horizontal="center"/>
      <protection locked="0" hidden="0"/>
    </xf>
    <xf numFmtId="0" fontId="7" fillId="13" borderId="0" applyAlignment="1" applyProtection="1" pivotButton="0" quotePrefix="0" xfId="0">
      <alignment horizontal="left" vertical="center"/>
      <protection locked="0" hidden="0"/>
    </xf>
    <xf numFmtId="0" fontId="55" fillId="4" borderId="0" applyAlignment="1" applyProtection="1" pivotButton="0" quotePrefix="0" xfId="3">
      <alignment horizontal="center" vertical="top"/>
      <protection locked="0" hidden="0"/>
    </xf>
    <xf numFmtId="165" fontId="5" fillId="19" borderId="8" applyAlignment="1" applyProtection="1" pivotButton="0" quotePrefix="0" xfId="1">
      <alignment horizontal="center" vertical="top"/>
      <protection locked="0" hidden="0"/>
    </xf>
    <xf numFmtId="0" fontId="0" fillId="0" borderId="8" pivotButton="0" quotePrefix="0" xfId="0"/>
    <xf numFmtId="0" fontId="61" fillId="4" borderId="0" applyAlignment="1" applyProtection="1" pivotButton="0" quotePrefix="0" xfId="0">
      <alignment horizontal="right" vertical="top" wrapText="1"/>
      <protection locked="0" hidden="0"/>
    </xf>
    <xf numFmtId="0" fontId="42" fillId="4" borderId="0" applyAlignment="1" applyProtection="1" pivotButton="0" quotePrefix="0" xfId="0">
      <alignment horizontal="left" vertical="top" wrapText="1"/>
      <protection locked="0" hidden="0"/>
    </xf>
    <xf numFmtId="165" fontId="51" fillId="9" borderId="0" applyAlignment="1" applyProtection="1" pivotButton="0" quotePrefix="0" xfId="1">
      <alignment horizontal="right" vertical="top"/>
      <protection locked="0" hidden="0"/>
    </xf>
    <xf numFmtId="165" fontId="0" fillId="4" borderId="23" applyAlignment="1" applyProtection="1" pivotButton="0" quotePrefix="0" xfId="1">
      <alignment horizontal="center" vertical="top"/>
      <protection locked="0" hidden="0"/>
    </xf>
    <xf numFmtId="0" fontId="0" fillId="0" borderId="13" pivotButton="0" quotePrefix="0" xfId="0"/>
    <xf numFmtId="0" fontId="33" fillId="4" borderId="22" applyAlignment="1" applyProtection="1" pivotButton="0" quotePrefix="0" xfId="0">
      <alignment horizontal="center" vertical="center"/>
      <protection locked="0" hidden="0"/>
    </xf>
    <xf numFmtId="0" fontId="0" fillId="0" borderId="22" pivotButton="0" quotePrefix="0" xfId="0"/>
    <xf numFmtId="0" fontId="19" fillId="19" borderId="8" applyAlignment="1" applyProtection="1" pivotButton="0" quotePrefix="0" xfId="0">
      <alignment horizontal="center" vertical="top"/>
      <protection locked="0" hidden="0"/>
    </xf>
    <xf numFmtId="0" fontId="0" fillId="4" borderId="0" applyAlignment="1" applyProtection="1" pivotButton="0" quotePrefix="0" xfId="0">
      <alignment horizontal="left" vertical="top" wrapText="1"/>
      <protection locked="0" hidden="0"/>
    </xf>
    <xf numFmtId="0" fontId="62" fillId="4" borderId="4" applyAlignment="1" applyProtection="1" pivotButton="0" quotePrefix="0" xfId="0">
      <alignment horizontal="center" vertical="top"/>
      <protection locked="0" hidden="0"/>
    </xf>
    <xf numFmtId="0" fontId="0" fillId="0" borderId="4" applyProtection="1" pivotButton="0" quotePrefix="0" xfId="0">
      <protection locked="0" hidden="0"/>
    </xf>
    <xf numFmtId="0" fontId="2" fillId="9" borderId="6" applyAlignment="1" applyProtection="1" pivotButton="0" quotePrefix="0" xfId="0">
      <alignment horizontal="center" vertical="top"/>
      <protection locked="0" hidden="0"/>
    </xf>
    <xf numFmtId="165" fontId="6" fillId="10" borderId="0" applyAlignment="1" applyProtection="1" pivotButton="0" quotePrefix="0" xfId="1">
      <alignment horizontal="center" vertical="center"/>
      <protection locked="0" hidden="0"/>
    </xf>
    <xf numFmtId="0" fontId="63" fillId="4" borderId="0" applyAlignment="1" applyProtection="1" pivotButton="0" quotePrefix="0" xfId="0">
      <alignment horizontal="left" vertical="top" wrapText="1"/>
      <protection locked="0" hidden="0"/>
    </xf>
    <xf numFmtId="0" fontId="50" fillId="2" borderId="0" applyAlignment="1" applyProtection="1" pivotButton="0" quotePrefix="0" xfId="0">
      <alignment horizontal="center" textRotation="90"/>
      <protection locked="0" hidden="0"/>
    </xf>
    <xf numFmtId="0" fontId="0" fillId="4" borderId="0" applyAlignment="1" applyProtection="1" pivotButton="0" quotePrefix="0" xfId="0">
      <alignment horizontal="right" vertical="top" wrapText="1"/>
      <protection locked="0" hidden="0"/>
    </xf>
    <xf numFmtId="15" fontId="0" fillId="14" borderId="0" applyAlignment="1" applyProtection="1" pivotButton="0" quotePrefix="0" xfId="0">
      <alignment horizontal="left" vertical="top"/>
      <protection locked="0" hidden="0"/>
    </xf>
    <xf numFmtId="0" fontId="2" fillId="3" borderId="2" applyAlignment="1" applyProtection="1" pivotButton="0" quotePrefix="0" xfId="0">
      <alignment horizontal="center" vertical="top"/>
      <protection locked="0" hidden="0"/>
    </xf>
    <xf numFmtId="0" fontId="0" fillId="0" borderId="2" pivotButton="0" quotePrefix="0" xfId="0"/>
    <xf numFmtId="0" fontId="2" fillId="14" borderId="0" applyAlignment="1" applyProtection="1" pivotButton="0" quotePrefix="0" xfId="0">
      <alignment horizontal="center" vertical="center" wrapText="1"/>
      <protection locked="0" hidden="0"/>
    </xf>
    <xf numFmtId="0" fontId="4" fillId="14" borderId="0" applyAlignment="1" applyProtection="1" pivotButton="0" quotePrefix="0" xfId="0">
      <alignment horizontal="right" wrapText="1"/>
      <protection locked="0" hidden="0"/>
    </xf>
    <xf numFmtId="0" fontId="2" fillId="2" borderId="1" applyAlignment="1" applyProtection="1" pivotButton="0" quotePrefix="0" xfId="0">
      <alignment horizontal="center"/>
      <protection locked="0" hidden="0"/>
    </xf>
    <xf numFmtId="0" fontId="0" fillId="0" borderId="0" pivotButton="0" quotePrefix="0" xfId="0"/>
    <xf numFmtId="0" fontId="2" fillId="2" borderId="15" applyAlignment="1" applyProtection="1" pivotButton="0" quotePrefix="0" xfId="0">
      <alignment horizontal="center"/>
      <protection locked="0" hidden="0"/>
    </xf>
    <xf numFmtId="15" fontId="0" fillId="0" borderId="0" applyAlignment="1" applyProtection="1" pivotButton="0" quotePrefix="0" xfId="0">
      <alignment horizontal="center"/>
      <protection locked="0" hidden="0"/>
    </xf>
    <xf numFmtId="15" fontId="0" fillId="5" borderId="0" applyAlignment="1" applyProtection="1" pivotButton="0" quotePrefix="0" xfId="0">
      <alignment horizontal="left"/>
      <protection locked="0" hidden="0"/>
    </xf>
    <xf numFmtId="0" fontId="64" fillId="0" borderId="0" applyAlignment="1" applyProtection="1" pivotButton="0" quotePrefix="0" xfId="0">
      <alignment horizontal="left" vertical="center"/>
      <protection locked="0" hidden="0"/>
    </xf>
    <xf numFmtId="0" fontId="0" fillId="0" borderId="0" applyAlignment="1" pivotButton="0" quotePrefix="0" xfId="0">
      <alignment vertical="top"/>
    </xf>
    <xf numFmtId="0" fontId="65" fillId="0" borderId="0" applyAlignment="1" applyProtection="1" pivotButton="0" quotePrefix="0" xfId="0">
      <alignment horizontal="center" vertical="top"/>
      <protection locked="0" hidden="0"/>
    </xf>
    <xf numFmtId="0" fontId="2" fillId="0" borderId="0" applyAlignment="1" applyProtection="1" pivotButton="0" quotePrefix="0" xfId="0">
      <alignment horizontal="right" vertical="top" wrapText="1"/>
      <protection locked="0" hidden="0"/>
    </xf>
    <xf numFmtId="165" fontId="23" fillId="14" borderId="0" applyAlignment="1" applyProtection="1" pivotButton="0" quotePrefix="0" xfId="1">
      <alignment horizontal="left" vertical="center"/>
      <protection locked="0" hidden="0"/>
    </xf>
    <xf numFmtId="165" fontId="43" fillId="14" borderId="0" applyAlignment="1" applyProtection="1" pivotButton="0" quotePrefix="0" xfId="1">
      <alignment horizontal="left" vertical="center"/>
      <protection locked="0" hidden="0"/>
    </xf>
    <xf numFmtId="0" fontId="0" fillId="0" borderId="6" applyProtection="1" pivotButton="0" quotePrefix="0" xfId="0">
      <protection locked="0" hidden="0"/>
    </xf>
    <xf numFmtId="0" fontId="0" fillId="0" borderId="5" applyProtection="1" pivotButton="0" quotePrefix="0" xfId="0">
      <protection locked="0" hidden="0"/>
    </xf>
    <xf numFmtId="0" fontId="0" fillId="0" borderId="2" applyProtection="1" pivotButton="0" quotePrefix="0" xfId="0">
      <protection locked="0" hidden="0"/>
    </xf>
    <xf numFmtId="165" fontId="6" fillId="10" borderId="0" applyAlignment="1" applyProtection="1" pivotButton="0" quotePrefix="0" xfId="1">
      <alignment horizontal="right" vertical="center"/>
      <protection locked="0" hidden="0"/>
    </xf>
    <xf numFmtId="165" fontId="54" fillId="4" borderId="0" applyAlignment="1" pivotButton="0" quotePrefix="0" xfId="1">
      <alignment vertical="center"/>
    </xf>
    <xf numFmtId="165" fontId="7" fillId="13" borderId="0" applyAlignment="1" applyProtection="1" pivotButton="0" quotePrefix="0" xfId="1">
      <alignment horizontal="left" vertical="center" indent="1"/>
      <protection locked="0" hidden="0"/>
    </xf>
    <xf numFmtId="165" fontId="6" fillId="10" borderId="0" applyAlignment="1" applyProtection="1" pivotButton="0" quotePrefix="0" xfId="1">
      <alignment horizontal="center" vertical="center"/>
      <protection locked="0" hidden="0"/>
    </xf>
    <xf numFmtId="165" fontId="51" fillId="9" borderId="0" applyAlignment="1" applyProtection="1" pivotButton="0" quotePrefix="0" xfId="1">
      <alignment horizontal="right" vertical="top"/>
      <protection locked="0" hidden="0"/>
    </xf>
    <xf numFmtId="165" fontId="2" fillId="24" borderId="0" applyAlignment="1" applyProtection="1" pivotButton="0" quotePrefix="0" xfId="1">
      <alignment vertical="top"/>
      <protection locked="0" hidden="0"/>
    </xf>
    <xf numFmtId="0" fontId="0" fillId="0" borderId="22" applyProtection="1" pivotButton="0" quotePrefix="0" xfId="0">
      <protection locked="0" hidden="0"/>
    </xf>
    <xf numFmtId="165" fontId="0" fillId="4" borderId="9" applyAlignment="1" applyProtection="1" pivotButton="0" quotePrefix="0" xfId="1">
      <alignment horizontal="center" vertical="top"/>
      <protection locked="0" hidden="0"/>
    </xf>
    <xf numFmtId="0" fontId="0" fillId="0" borderId="11" applyProtection="1" pivotButton="0" quotePrefix="0" xfId="0">
      <protection locked="0" hidden="0"/>
    </xf>
    <xf numFmtId="165" fontId="0" fillId="4" borderId="23" applyAlignment="1" applyProtection="1" pivotButton="0" quotePrefix="0" xfId="1">
      <alignment horizontal="center" vertical="top"/>
      <protection locked="0" hidden="0"/>
    </xf>
    <xf numFmtId="0" fontId="0" fillId="0" borderId="13" applyProtection="1" pivotButton="0" quotePrefix="0" xfId="0">
      <protection locked="0" hidden="0"/>
    </xf>
    <xf numFmtId="165" fontId="5" fillId="19" borderId="8" applyAlignment="1" applyProtection="1" pivotButton="0" quotePrefix="0" xfId="1">
      <alignment vertical="top"/>
      <protection locked="0" hidden="0"/>
    </xf>
    <xf numFmtId="0" fontId="0" fillId="0" borderId="8" applyProtection="1" pivotButton="0" quotePrefix="0" xfId="0">
      <protection locked="0" hidden="0"/>
    </xf>
    <xf numFmtId="165" fontId="5" fillId="19" borderId="8" applyAlignment="1" applyProtection="1" pivotButton="0" quotePrefix="0" xfId="1">
      <alignment horizontal="center" vertical="top"/>
      <protection locked="0" hidden="0"/>
    </xf>
    <xf numFmtId="166" fontId="26" fillId="2" borderId="18" applyAlignment="1" applyProtection="1" pivotButton="0" quotePrefix="0" xfId="0">
      <alignment horizontal="center" textRotation="90"/>
      <protection locked="0" hidden="0"/>
    </xf>
    <xf numFmtId="166" fontId="26" fillId="2" borderId="3" applyAlignment="1" applyProtection="1" pivotButton="0" quotePrefix="0" xfId="0">
      <alignment horizontal="center" textRotation="90"/>
      <protection locked="0" hidden="0"/>
    </xf>
    <xf numFmtId="166" fontId="26" fillId="2" borderId="19" applyAlignment="1" applyProtection="1" pivotButton="0" quotePrefix="0" xfId="0">
      <alignment horizontal="center" textRotation="90"/>
      <protection locked="0" hidden="0"/>
    </xf>
  </cellXfs>
  <cellStyles count="4">
    <cellStyle name="Normal" xfId="0" builtinId="0"/>
    <cellStyle name="Comma" xfId="1" builtinId="3"/>
    <cellStyle name="Per cent" xfId="2" builtinId="5"/>
    <cellStyle name="Hyperlink" xfId="3" builtinId="8"/>
  </cellStyles>
  <dxfs count="1061"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 val="1"/>
        <color rgb="FFC00000"/>
      </font>
    </dxf>
    <dxf>
      <font>
        <strike val="1"/>
        <color rgb="FFC00000"/>
      </font>
      <fill>
        <patternFill>
          <bgColor auto="1"/>
        </patternFill>
      </fill>
    </dxf>
    <dxf>
      <font>
        <color rgb="FF0070C0"/>
      </font>
      <fill>
        <patternFill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 val="1"/>
        <color rgb="FFC00000"/>
      </font>
    </dxf>
    <dxf>
      <font>
        <strike val="1"/>
        <color rgb="FFC00000"/>
      </font>
      <fill>
        <patternFill>
          <bgColor auto="1"/>
        </patternFill>
      </fill>
    </dxf>
    <dxf>
      <font>
        <color rgb="FF0070C0"/>
      </font>
      <fill>
        <patternFill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ont>
        <strike val="1"/>
        <color rgb="FFC00000"/>
      </font>
    </dxf>
    <dxf>
      <font>
        <strike val="1"/>
        <color rgb="FFC00000"/>
      </font>
      <fill>
        <patternFill>
          <bgColor auto="1"/>
        </patternFill>
      </fill>
    </dxf>
    <dxf>
      <font>
        <color rgb="FF0070C0"/>
      </font>
      <fill>
        <patternFill>
          <bgColor auto="1"/>
        </patternFill>
      </fill>
    </dxf>
    <dxf>
      <font>
        <color rgb="FF0070C0"/>
      </font>
    </dxf>
    <dxf>
      <font>
        <strike val="1"/>
        <color rgb="FFC00000"/>
      </font>
    </dxf>
    <dxf>
      <font>
        <strike val="1"/>
        <color rgb="FFC00000"/>
      </font>
      <fill>
        <patternFill>
          <bgColor auto="1"/>
        </patternFill>
      </fill>
    </dxf>
    <dxf>
      <fill>
        <patternFill>
          <bgColor rgb="FFC00000"/>
        </patternFill>
      </fill>
    </dxf>
    <dxf>
      <font>
        <strike val="1"/>
        <color rgb="FFC00000"/>
      </font>
    </dxf>
    <dxf>
      <font>
        <color rgb="FF0070C0"/>
      </font>
      <fill>
        <patternFill>
          <bgColor auto="1"/>
        </patternFill>
      </fill>
    </dxf>
    <dxf>
      <font>
        <color rgb="FF0070C0"/>
      </font>
    </dxf>
    <dxf>
      <font>
        <strike val="1"/>
        <color rgb="FFC00000"/>
      </font>
    </dxf>
    <dxf>
      <font>
        <strike val="1"/>
        <color rgb="FFC00000"/>
      </font>
      <fill>
        <patternFill>
          <bgColor auto="1"/>
        </patternFill>
      </fill>
    </dxf>
    <dxf>
      <font>
        <strike val="1"/>
        <color rgb="FFC00000"/>
      </font>
    </dxf>
    <dxf>
      <font>
        <strike val="1"/>
        <color rgb="FFC00000"/>
      </font>
      <fill>
        <patternFill>
          <bgColor auto="1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 val="1"/>
        <color rgb="FFC00000"/>
      </font>
    </dxf>
    <dxf>
      <font>
        <strike val="1"/>
        <color rgb="FFC00000"/>
      </font>
      <fill>
        <patternFill>
          <bgColor auto="1"/>
        </patternFill>
      </fill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ont>
        <strike val="1"/>
        <color rgb="FFC00000"/>
      </font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 val="1"/>
        <color rgb="FFC00000"/>
      </font>
    </dxf>
    <dxf>
      <font>
        <strike val="1"/>
        <color rgb="FFC00000"/>
      </font>
      <fill>
        <patternFill>
          <bgColor auto="1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>
          <bgColor auto="1"/>
        </patternFill>
      </fill>
    </dxf>
    <dxf>
      <font>
        <color rgb="FF0070C0"/>
      </font>
    </dxf>
    <dxf>
      <font>
        <strike val="1"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>
          <bgColor auto="1"/>
        </patternFill>
      </fill>
    </dxf>
    <dxf>
      <font>
        <color rgb="FF0070C0"/>
      </font>
    </dxf>
    <dxf>
      <font>
        <strike val="1"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ont>
        <strike val="1"/>
        <color rgb="FFC00000"/>
      </font>
    </dxf>
    <dxf>
      <font>
        <strike val="1"/>
        <color rgb="FFC00000"/>
      </font>
      <fill>
        <patternFill>
          <bgColor auto="1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ont>
        <strike val="1"/>
        <color rgb="FFC00000"/>
      </font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>
          <bgColor auto="1"/>
        </patternFill>
      </fill>
    </dxf>
    <dxf>
      <font>
        <color rgb="FF0070C0"/>
      </font>
    </dxf>
    <dxf>
      <font>
        <strike val="1"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ont>
        <strike val="1"/>
        <color rgb="FFC00000"/>
      </font>
    </dxf>
    <dxf>
      <font>
        <strike val="1"/>
        <color rgb="FFC00000"/>
      </font>
      <fill>
        <patternFill>
          <bgColor auto="1"/>
        </patternFill>
      </fill>
    </dxf>
    <dxf>
      <font>
        <strike val="1"/>
        <color rgb="FFC00000"/>
      </font>
    </dxf>
    <dxf>
      <font>
        <strike val="1"/>
        <color rgb="FFC00000"/>
      </font>
      <fill>
        <patternFill>
          <bgColor auto="1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 val="1"/>
        <color rgb="FFC00000"/>
      </font>
    </dxf>
    <dxf>
      <font>
        <strike val="1"/>
        <color rgb="FFC00000"/>
      </font>
      <fill>
        <patternFill>
          <bgColor auto="1"/>
        </patternFill>
      </fill>
    </dxf>
    <dxf>
      <font>
        <color rgb="FF0070C0"/>
      </font>
      <fill>
        <patternFill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 val="1"/>
        <color rgb="FFC00000"/>
      </font>
    </dxf>
    <dxf>
      <font>
        <strike val="1"/>
        <color rgb="FFC00000"/>
      </font>
      <fill>
        <patternFill>
          <bgColor auto="1"/>
        </patternFill>
      </fill>
    </dxf>
    <dxf>
      <font>
        <color rgb="FF0070C0"/>
      </font>
      <fill>
        <patternFill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 val="1"/>
        <color rgb="FFC00000"/>
      </font>
    </dxf>
    <dxf>
      <font>
        <strike val="1"/>
        <color rgb="FFC00000"/>
      </font>
      <fill>
        <patternFill>
          <bgColor auto="1"/>
        </patternFill>
      </fill>
    </dxf>
    <dxf>
      <font>
        <color rgb="FF0070C0"/>
      </font>
      <fill>
        <patternFill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 val="1"/>
        <color rgb="FFC00000"/>
      </font>
    </dxf>
    <dxf>
      <font>
        <strike val="1"/>
        <color rgb="FFC00000"/>
      </font>
      <fill>
        <patternFill>
          <bgColor auto="1"/>
        </patternFill>
      </fill>
    </dxf>
    <dxf>
      <font>
        <color rgb="FF0070C0"/>
      </font>
      <fill>
        <patternFill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ont>
        <strike val="1"/>
        <color rgb="FFC00000"/>
      </font>
    </dxf>
    <dxf>
      <font>
        <strike val="1"/>
        <color rgb="FFC00000"/>
      </font>
      <fill>
        <patternFill>
          <bgColor auto="1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 val="1"/>
        <color rgb="FFC00000"/>
      </font>
    </dxf>
    <dxf>
      <font>
        <strike val="1"/>
        <color rgb="FFC00000"/>
      </font>
      <fill>
        <patternFill>
          <bgColor auto="1"/>
        </patternFill>
      </fill>
    </dxf>
    <dxf>
      <font>
        <color rgb="FF0070C0"/>
      </font>
      <fill>
        <patternFill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 val="1"/>
        <color rgb="FFC00000"/>
      </font>
    </dxf>
    <dxf>
      <font>
        <strike val="1"/>
        <color rgb="FFC00000"/>
      </font>
      <fill>
        <patternFill>
          <bgColor auto="1"/>
        </patternFill>
      </fill>
    </dxf>
    <dxf>
      <font>
        <color rgb="FF0070C0"/>
      </font>
      <fill>
        <patternFill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 val="1"/>
        <color rgb="FFC00000"/>
      </font>
    </dxf>
    <dxf>
      <font>
        <strike val="1"/>
        <color rgb="FFC00000"/>
      </font>
      <fill>
        <patternFill>
          <bgColor auto="1"/>
        </patternFill>
      </fill>
    </dxf>
    <dxf>
      <font>
        <color rgb="FF0070C0"/>
      </font>
      <fill>
        <patternFill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 val="1"/>
        <color rgb="FFC00000"/>
      </font>
    </dxf>
    <dxf>
      <font>
        <strike val="1"/>
        <color rgb="FFC00000"/>
      </font>
      <fill>
        <patternFill>
          <bgColor auto="1"/>
        </patternFill>
      </fill>
    </dxf>
    <dxf>
      <font>
        <color rgb="FF0070C0"/>
      </font>
      <fill>
        <patternFill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 val="1"/>
        <color rgb="FFC00000"/>
      </font>
    </dxf>
    <dxf>
      <font>
        <strike val="1"/>
        <color rgb="FFC00000"/>
      </font>
      <fill>
        <patternFill>
          <bgColor auto="1"/>
        </patternFill>
      </fill>
    </dxf>
    <dxf>
      <font>
        <color rgb="FF0070C0"/>
      </font>
      <fill>
        <patternFill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ont>
        <strike val="1"/>
        <color rgb="FFC00000"/>
      </font>
    </dxf>
    <dxf>
      <font>
        <strike val="1"/>
        <color rgb="FFC00000"/>
      </font>
      <fill>
        <patternFill>
          <bgColor auto="1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 val="1"/>
        <color rgb="FFC00000"/>
      </font>
    </dxf>
    <dxf>
      <font>
        <strike val="1"/>
        <color rgb="FFC00000"/>
      </font>
      <fill>
        <patternFill>
          <bgColor auto="1"/>
        </patternFill>
      </fill>
    </dxf>
    <dxf>
      <font>
        <color rgb="FF0070C0"/>
      </font>
      <fill>
        <patternFill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 val="1"/>
        <color rgb="FFC00000"/>
      </font>
    </dxf>
    <dxf>
      <font>
        <strike val="1"/>
        <color rgb="FFC00000"/>
      </font>
      <fill>
        <patternFill>
          <bgColor auto="1"/>
        </patternFill>
      </fill>
    </dxf>
    <dxf>
      <font>
        <color rgb="FF0070C0"/>
      </font>
      <fill>
        <patternFill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ont>
        <strike val="1"/>
        <color rgb="FFC00000"/>
      </font>
    </dxf>
    <dxf>
      <font>
        <strike val="1"/>
        <color rgb="FFC00000"/>
      </font>
      <fill>
        <patternFill>
          <bgColor auto="1"/>
        </patternFill>
      </fill>
    </dxf>
    <dxf>
      <font>
        <strike val="1"/>
        <color rgb="FFC00000"/>
      </font>
    </dxf>
    <dxf>
      <font>
        <strike val="1"/>
        <color rgb="FFC00000"/>
      </font>
      <fill>
        <patternFill>
          <bgColor auto="1"/>
        </patternFill>
      </fill>
    </dxf>
    <dxf>
      <font>
        <strike val="1"/>
        <color rgb="FFC00000"/>
      </font>
    </dxf>
    <dxf>
      <font>
        <strike val="1"/>
        <color rgb="FFC00000"/>
      </font>
      <fill>
        <patternFill>
          <bgColor auto="1"/>
        </patternFill>
      </fill>
    </dxf>
    <dxf>
      <font>
        <strike val="1"/>
        <color rgb="FFC00000"/>
      </font>
    </dxf>
    <dxf>
      <font>
        <strike val="1"/>
        <color rgb="FFC00000"/>
      </font>
      <fill>
        <patternFill>
          <bgColor auto="1"/>
        </patternFill>
      </fill>
    </dxf>
    <dxf>
      <font>
        <strike val="1"/>
        <color rgb="FFC00000"/>
      </font>
    </dxf>
    <dxf>
      <font>
        <strike val="1"/>
        <color rgb="FFC00000"/>
      </font>
      <fill>
        <patternFill>
          <bgColor auto="1"/>
        </patternFill>
      </fill>
    </dxf>
    <dxf>
      <font>
        <strike val="1"/>
        <color rgb="FFC00000"/>
      </font>
    </dxf>
    <dxf>
      <font>
        <strike val="1"/>
        <color rgb="FFC00000"/>
      </font>
      <fill>
        <patternFill>
          <bgColor auto="1"/>
        </patternFill>
      </fill>
    </dxf>
    <dxf>
      <font>
        <strike val="1"/>
        <color rgb="FFC00000"/>
      </font>
    </dxf>
    <dxf>
      <font>
        <strike val="1"/>
        <color rgb="FFC00000"/>
      </font>
      <fill>
        <patternFill>
          <bgColor auto="1"/>
        </patternFill>
      </fill>
    </dxf>
    <dxf>
      <font>
        <strike val="1"/>
        <color rgb="FFC00000"/>
      </font>
    </dxf>
    <dxf>
      <font>
        <strike val="1"/>
        <color rgb="FFC00000"/>
      </font>
      <fill>
        <patternFill>
          <bgColor auto="1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 val="1"/>
        <color rgb="FFC00000"/>
      </font>
    </dxf>
    <dxf>
      <font>
        <strike val="1"/>
        <color rgb="FFC00000"/>
      </font>
      <fill>
        <patternFill>
          <bgColor auto="1"/>
        </patternFill>
      </fill>
    </dxf>
    <dxf>
      <font>
        <color rgb="FF0070C0"/>
      </font>
      <fill>
        <patternFill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 val="1"/>
        <color rgb="FFC00000"/>
      </font>
    </dxf>
    <dxf>
      <font>
        <strike val="1"/>
        <color rgb="FFC00000"/>
      </font>
      <fill>
        <patternFill>
          <bgColor auto="1"/>
        </patternFill>
      </fill>
    </dxf>
    <dxf>
      <font>
        <color rgb="FF0070C0"/>
      </font>
      <fill>
        <patternFill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 val="1"/>
        <color rgb="FFC00000"/>
      </font>
    </dxf>
    <dxf>
      <font>
        <strike val="1"/>
        <color rgb="FFC00000"/>
      </font>
      <fill>
        <patternFill>
          <bgColor auto="1"/>
        </patternFill>
      </fill>
    </dxf>
    <dxf>
      <font>
        <color rgb="FF0070C0"/>
      </font>
      <fill>
        <patternFill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 val="1"/>
        <color rgb="FFC00000"/>
      </font>
    </dxf>
    <dxf>
      <font>
        <strike val="1"/>
        <color rgb="FFC00000"/>
      </font>
      <fill>
        <patternFill>
          <bgColor auto="1"/>
        </patternFill>
      </fill>
    </dxf>
    <dxf>
      <font>
        <color rgb="FF0070C0"/>
      </font>
      <fill>
        <patternFill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ont>
        <strike val="1"/>
        <color rgb="FFC00000"/>
      </font>
    </dxf>
    <dxf>
      <font>
        <strike val="1"/>
        <color rgb="FFC00000"/>
      </font>
      <fill>
        <patternFill>
          <bgColor auto="1"/>
        </patternFill>
      </fill>
    </dxf>
    <dxf>
      <font>
        <strike val="1"/>
        <color rgb="FFC00000"/>
      </font>
    </dxf>
    <dxf>
      <font>
        <strike val="1"/>
        <color rgb="FFC00000"/>
      </font>
      <fill>
        <patternFill>
          <bgColor auto="1"/>
        </patternFill>
      </fill>
    </dxf>
    <dxf>
      <font>
        <strike val="1"/>
        <color rgb="FFC00000"/>
      </font>
    </dxf>
    <dxf>
      <font>
        <strike val="1"/>
        <color rgb="FFC00000"/>
      </font>
      <fill>
        <patternFill>
          <bgColor auto="1"/>
        </patternFill>
      </fill>
    </dxf>
    <dxf>
      <font>
        <strike val="1"/>
        <color rgb="FFC00000"/>
      </font>
    </dxf>
    <dxf>
      <font>
        <strike val="1"/>
        <color rgb="FFC00000"/>
      </font>
      <fill>
        <patternFill>
          <bgColor auto="1"/>
        </patternFill>
      </fill>
    </dxf>
    <dxf>
      <font>
        <strike val="1"/>
        <color rgb="FFC00000"/>
      </font>
    </dxf>
    <dxf>
      <font>
        <strike val="1"/>
        <color rgb="FFC00000"/>
      </font>
      <fill>
        <patternFill>
          <bgColor auto="1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 val="1"/>
        <color rgb="FFC00000"/>
      </font>
    </dxf>
    <dxf>
      <font>
        <strike val="1"/>
        <color rgb="FFC00000"/>
      </font>
      <fill>
        <patternFill>
          <bgColor auto="1"/>
        </patternFill>
      </fill>
    </dxf>
    <dxf>
      <font>
        <color rgb="FF0070C0"/>
      </font>
      <fill>
        <patternFill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 val="1"/>
        <color rgb="FFC00000"/>
      </font>
    </dxf>
    <dxf>
      <font>
        <strike val="1"/>
        <color rgb="FFC00000"/>
      </font>
      <fill>
        <patternFill>
          <bgColor auto="1"/>
        </patternFill>
      </fill>
    </dxf>
    <dxf>
      <font>
        <color rgb="FF0070C0"/>
      </font>
      <fill>
        <patternFill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 val="1"/>
        <color rgb="FFC00000"/>
      </font>
    </dxf>
    <dxf>
      <font>
        <strike val="1"/>
        <color rgb="FFC00000"/>
      </font>
      <fill>
        <patternFill>
          <bgColor auto="1"/>
        </patternFill>
      </fill>
    </dxf>
    <dxf>
      <font>
        <color rgb="FF0070C0"/>
      </font>
      <fill>
        <patternFill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ont>
        <strike val="1"/>
        <color rgb="FFC00000"/>
      </font>
    </dxf>
    <dxf>
      <font>
        <strike val="1"/>
        <color rgb="FFC00000"/>
      </font>
      <fill>
        <patternFill>
          <bgColor auto="1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 val="1"/>
        <color rgb="FFC00000"/>
      </font>
    </dxf>
    <dxf>
      <font>
        <strike val="1"/>
        <color rgb="FFC00000"/>
      </font>
      <fill>
        <patternFill>
          <bgColor auto="1"/>
        </patternFill>
      </fill>
    </dxf>
    <dxf>
      <font>
        <color rgb="FF0070C0"/>
      </font>
      <fill>
        <patternFill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ont>
        <strike val="1"/>
        <color rgb="FFC00000"/>
      </font>
    </dxf>
    <dxf>
      <font>
        <strike val="1"/>
        <color rgb="FFC00000"/>
      </font>
      <fill>
        <patternFill>
          <bgColor auto="1"/>
        </patternFill>
      </fill>
    </dxf>
    <dxf>
      <font>
        <color rgb="FF0070C0"/>
      </font>
      <fill>
        <patternFill>
          <bgColor auto="1"/>
        </patternFill>
      </fill>
    </dxf>
    <dxf>
      <font>
        <color rgb="FF0070C0"/>
      </font>
    </dxf>
    <dxf>
      <font>
        <strike val="1"/>
        <color rgb="FFC00000"/>
      </font>
    </dxf>
    <dxf>
      <font>
        <strike val="1"/>
        <color rgb="FFC00000"/>
      </font>
      <fill>
        <patternFill>
          <bgColor auto="1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>
          <bgColor auto="1"/>
        </patternFill>
      </fill>
    </dxf>
    <dxf>
      <font>
        <color rgb="FF0070C0"/>
      </font>
    </dxf>
    <dxf>
      <font>
        <strike val="1"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>
          <bgColor auto="1"/>
        </patternFill>
      </fill>
    </dxf>
    <dxf>
      <font>
        <color rgb="FF0070C0"/>
      </font>
    </dxf>
    <dxf>
      <font>
        <strike val="1"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>
          <bgColor auto="1"/>
        </patternFill>
      </fill>
    </dxf>
    <dxf>
      <font>
        <color rgb="FF0070C0"/>
      </font>
    </dxf>
    <dxf>
      <font>
        <color rgb="FF0070C0"/>
      </font>
      <fill>
        <patternFill>
          <bgColor auto="1"/>
        </patternFill>
      </fill>
    </dxf>
    <dxf>
      <font>
        <color rgb="FF0070C0"/>
      </font>
    </dxf>
    <dxf>
      <font>
        <strike val="1"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>
          <bgColor auto="1"/>
        </patternFill>
      </fill>
    </dxf>
    <dxf>
      <font>
        <color rgb="FF0070C0"/>
      </font>
    </dxf>
    <dxf>
      <font>
        <strike val="1"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>
          <bgColor auto="1"/>
        </patternFill>
      </fill>
    </dxf>
    <dxf>
      <font>
        <color rgb="FF0070C0"/>
      </font>
    </dxf>
    <dxf>
      <font>
        <strike val="1"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strike val="1"/>
        <color rgb="FFC00000"/>
      </font>
    </dxf>
    <dxf>
      <font>
        <strike val="1"/>
        <color rgb="FFC00000"/>
      </font>
      <fill>
        <patternFill>
          <bgColor auto="1"/>
        </patternFill>
      </fill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>
          <bgColor auto="1"/>
        </patternFill>
      </fill>
    </dxf>
    <dxf>
      <font>
        <color rgb="FF0070C0"/>
      </font>
    </dxf>
    <dxf>
      <font>
        <strike val="1"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>
          <bgColor auto="1"/>
        </patternFill>
      </fill>
    </dxf>
    <dxf>
      <font>
        <color rgb="FF0070C0"/>
      </font>
    </dxf>
    <dxf>
      <font>
        <strike val="1"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>
          <bgColor auto="1"/>
        </patternFill>
      </fill>
    </dxf>
    <dxf>
      <font>
        <color rgb="FF0070C0"/>
      </font>
    </dxf>
    <dxf>
      <font>
        <strike val="1"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>
          <bgColor auto="1"/>
        </patternFill>
      </fill>
    </dxf>
    <dxf>
      <font>
        <color rgb="FF0070C0"/>
      </font>
    </dxf>
    <dxf>
      <font>
        <strike val="1"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>
          <bgColor auto="1"/>
        </patternFill>
      </fill>
    </dxf>
    <dxf>
      <font>
        <color rgb="FF0070C0"/>
      </font>
    </dxf>
    <dxf>
      <font>
        <strike val="1"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strike val="1"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ont>
        <color rgb="FF0070C0"/>
      </font>
      <fill>
        <patternFill>
          <bgColor auto="1"/>
        </patternFill>
      </fill>
    </dxf>
    <dxf>
      <font>
        <color rgb="FF0070C0"/>
      </font>
    </dxf>
    <dxf>
      <font>
        <color rgb="FF0070C0"/>
      </font>
      <fill>
        <patternFill>
          <bgColor auto="1"/>
        </patternFill>
      </fill>
    </dxf>
    <dxf>
      <font>
        <color rgb="FF0070C0"/>
      </font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>
          <bgColor auto="1"/>
        </patternFill>
      </fill>
    </dxf>
    <dxf>
      <font>
        <color rgb="FF0070C0"/>
      </font>
    </dxf>
    <dxf>
      <font>
        <strike val="1"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>
          <bgColor auto="1"/>
        </patternFill>
      </fill>
    </dxf>
    <dxf>
      <font>
        <color rgb="FF0070C0"/>
      </font>
    </dxf>
    <dxf>
      <font>
        <strike val="1"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>
          <bgColor auto="1"/>
        </patternFill>
      </fill>
    </dxf>
    <dxf>
      <font>
        <color rgb="FF0070C0"/>
      </font>
    </dxf>
    <dxf>
      <font>
        <strike val="1"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ont>
        <strike val="1"/>
        <color rgb="FFC00000"/>
      </font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>
          <bgColor auto="1"/>
        </patternFill>
      </fill>
    </dxf>
    <dxf>
      <font>
        <color rgb="FF0070C0"/>
      </font>
    </dxf>
    <dxf>
      <font>
        <strike val="1"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>
          <bgColor auto="1"/>
        </patternFill>
      </fill>
    </dxf>
    <dxf>
      <font>
        <color rgb="FF0070C0"/>
      </font>
    </dxf>
    <dxf>
      <font>
        <strike val="1"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>
          <bgColor auto="1"/>
        </patternFill>
      </fill>
    </dxf>
    <dxf>
      <font>
        <color rgb="FF0070C0"/>
      </font>
    </dxf>
    <dxf>
      <font>
        <strike val="1"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>
          <bgColor auto="1"/>
        </patternFill>
      </fill>
    </dxf>
    <dxf>
      <font>
        <color rgb="FF0070C0"/>
      </font>
    </dxf>
    <dxf>
      <font>
        <strike val="1"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ont>
        <strike val="1"/>
        <color rgb="FFC00000"/>
      </font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>
          <bgColor auto="1"/>
        </patternFill>
      </fill>
    </dxf>
    <dxf>
      <font>
        <color rgb="FF0070C0"/>
      </font>
    </dxf>
    <dxf>
      <font>
        <strike val="1"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>
          <bgColor auto="1"/>
        </patternFill>
      </fill>
    </dxf>
    <dxf>
      <font>
        <color rgb="FF0070C0"/>
      </font>
    </dxf>
    <dxf>
      <font>
        <strike val="1"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>
          <bgColor auto="1"/>
        </patternFill>
      </fill>
    </dxf>
    <dxf>
      <font>
        <color rgb="FF0070C0"/>
      </font>
    </dxf>
    <dxf>
      <font>
        <strike val="1"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>
          <bgColor auto="1"/>
        </patternFill>
      </fill>
    </dxf>
    <dxf>
      <font>
        <color rgb="FF0070C0"/>
      </font>
    </dxf>
    <dxf>
      <font>
        <strike val="1"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>
          <bgColor auto="1"/>
        </patternFill>
      </fill>
    </dxf>
    <dxf>
      <font>
        <color rgb="FF0070C0"/>
      </font>
    </dxf>
    <dxf>
      <font>
        <strike val="1"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rgb="FF0070C0"/>
      </font>
      <fill>
        <patternFill>
          <bgColor auto="1"/>
        </patternFill>
      </fill>
    </dxf>
    <dxf>
      <font>
        <color rgb="FF0070C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  <dxf>
      <font>
        <color rgb="FF0070C0"/>
      </font>
      <fill>
        <patternFill>
          <bgColor auto="1"/>
        </patternFill>
      </fill>
    </dxf>
    <dxf>
      <font>
        <color rgb="FF0070C0"/>
      </font>
    </dxf>
    <dxf>
      <font>
        <strike val="1"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FF66FF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ont>
        <color theme="8" tint="-0.249946592608417"/>
      </font>
      <fill>
        <patternFill>
          <bgColor theme="7" tint="0.5999633777886288"/>
        </patternFill>
      </fill>
    </dxf>
    <dxf>
      <font>
        <strike val="1"/>
        <color rgb="FFC00000"/>
      </font>
    </dxf>
    <dxf>
      <font>
        <strike val="1"/>
        <color rgb="FFC00000"/>
      </font>
      <fill>
        <patternFill>
          <bgColor auto="1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ont>
        <strike val="1"/>
        <color rgb="FFC00000"/>
      </font>
    </dxf>
    <dxf>
      <font>
        <color rgb="FF0070C0"/>
      </font>
      <fill>
        <patternFill>
          <bgColor auto="1"/>
        </patternFill>
      </fill>
    </dxf>
    <dxf>
      <font>
        <color rgb="FF0070C0"/>
      </font>
    </dxf>
    <dxf>
      <font>
        <strike val="1"/>
        <color rgb="FFC00000"/>
      </font>
    </dxf>
    <dxf>
      <font>
        <color rgb="FFFF0000"/>
      </font>
    </dxf>
    <dxf>
      <font>
        <color rgb="FFCC00CC"/>
      </font>
    </dxf>
    <dxf>
      <font>
        <color rgb="FF00B0F0"/>
      </font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styles" Target="styles.xml" Id="rId7"/><Relationship Type="http://schemas.openxmlformats.org/officeDocument/2006/relationships/theme" Target="theme/theme1.xml" Id="rId8"/><Relationship Type="http://schemas.microsoft.com/office/2006/relationships/vbaProject" Target="vbaProject.bin" Id="rId9"/></Relationships>
</file>

<file path=xl/charts/chart1.xml><?xml version="1.0" encoding="utf-8"?>
<chartSpace xmlns="http://schemas.openxmlformats.org/drawingml/2006/chart">
  <chart>
    <plotArea>
      <layout>
        <manualLayout>
          <layoutTarget val="inner"/>
          <xMode val="edge"/>
          <yMode val="edge"/>
          <wMode val="factor"/>
          <hMode val="factor"/>
          <x val="0.3122465806454857"/>
          <y val="0.2631100635760737"/>
          <w val="0.4343925099733792"/>
          <h val="0.4535567890047316"/>
        </manualLayout>
      </layout>
      <pieChart>
        <varyColors val="1"/>
        <ser>
          <idx val="0"/>
          <order val="0"/>
          <spPr>
            <a:ln xmlns:a="http://schemas.openxmlformats.org/drawingml/2006/main">
              <a:prstDash val="solid"/>
            </a:ln>
          </spPr>
          <dLbls>
            <spPr>
              <a:noFill xmlns:a="http://schemas.openxmlformats.org/drawingml/2006/main"/>
              <a:ln xmlns:a="http://schemas.openxmlformats.org/drawingml/2006/main">
                <a:noFill/>
                <a:prstDash val="solid"/>
              </a:ln>
            </spPr>
            <dLblPos val="bestFit"/>
            <showLegendKey val="0"/>
            <showVal val="0"/>
            <showCatName val="1"/>
            <showSerName val="0"/>
            <showPercent val="1"/>
            <showBubbleSize val="0"/>
            <showLeaderLines val="1"/>
          </dLbls>
          <cat>
            <strRef>
              <f>Estimation!$L$227:$L$232</f>
              <strCache>
                <ptCount val="6"/>
                <pt idx="0">
                  <v>Req</v>
                </pt>
                <pt idx="1">
                  <v>Design</v>
                </pt>
                <pt idx="2">
                  <v>Dev.</v>
                </pt>
                <pt idx="3">
                  <v>QA</v>
                </pt>
                <pt idx="4">
                  <v>UAT Etc.</v>
                </pt>
                <pt idx="5">
                  <v>Others</v>
                </pt>
              </strCache>
            </strRef>
          </cat>
          <val>
            <numRef>
              <f>Estimation!$O$227:$O$232</f>
              <numCache>
                <formatCode>0</formatCode>
                <ptCount val="6"/>
                <pt idx="0">
                  <v>116</v>
                </pt>
                <pt idx="1">
                  <v>52</v>
                </pt>
                <pt idx="2">
                  <v>102</v>
                </pt>
                <pt idx="3">
                  <v>109</v>
                </pt>
                <pt idx="4">
                  <v>22</v>
                </pt>
                <pt idx="5">
                  <v>41</v>
                </pt>
              </numCache>
            </numRef>
          </val>
        </ser>
        <dLbls>
          <dLblPos val="bestFit"/>
          <showLegendKey val="0"/>
          <showVal val="1"/>
          <showCatName val="0"/>
          <showSerName val="0"/>
          <showPercent val="0"/>
          <showBubbleSize val="0"/>
          <showLeaderLines val="1"/>
        </dLbls>
        <firstSliceAng val="0"/>
      </pieChart>
    </plotArea>
    <plotVisOnly val="1"/>
    <dispBlanksAs val="gap"/>
  </chart>
  <spPr>
    <a:solidFill xmlns:a="http://schemas.openxmlformats.org/drawingml/2006/main">
      <a:schemeClr val="bg1"/>
    </a:solidFill>
    <a:ln xmlns:a="http://schemas.openxmlformats.org/drawingml/2006/main"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Relationships xmlns="http://schemas.openxmlformats.org/package/2006/relationships"><Relationship Type="http://schemas.openxmlformats.org/officeDocument/2006/relationships/chart" Target="/xl/charts/chart1.xml" Id="rId1"/><Relationship Type="http://schemas.openxmlformats.org/officeDocument/2006/relationships/image" Target="/xl/media/image1.png" Id="rId2"/></Relationships>
</file>

<file path=xl/drawings/_rels/drawing2.xml.rels><Relationships xmlns="http://schemas.openxmlformats.org/package/2006/relationships"><Relationship Type="http://schemas.openxmlformats.org/officeDocument/2006/relationships/image" Target="/xl/media/image2.png" Id="rId1"/><Relationship Type="http://schemas.openxmlformats.org/officeDocument/2006/relationships/image" Target="/xl/media/image3.png" Id="rId2"/><Relationship Type="http://schemas.openxmlformats.org/officeDocument/2006/relationships/image" Target="/xl/media/image4.png" Id="rId3"/><Relationship Type="http://schemas.openxmlformats.org/officeDocument/2006/relationships/image" Target="/xl/media/image5.png" Id="rId4"/><Relationship Type="http://schemas.openxmlformats.org/officeDocument/2006/relationships/image" Target="/xl/media/image6.png" Id="rId5"/><Relationship Type="http://schemas.openxmlformats.org/officeDocument/2006/relationships/image" Target="/xl/media/image7.png" Id="rId6"/><Relationship Type="http://schemas.openxmlformats.org/officeDocument/2006/relationships/image" Target="/xl/media/image8.png" Id="rId7"/><Relationship Type="http://schemas.openxmlformats.org/officeDocument/2006/relationships/image" Target="/xl/media/image9.png" Id="rId8"/><Relationship Type="http://schemas.openxmlformats.org/officeDocument/2006/relationships/image" Target="/xl/media/image10.png" Id="rId9"/><Relationship Type="http://schemas.openxmlformats.org/officeDocument/2006/relationships/image" Target="/xl/media/image11.png" Id="rId10"/><Relationship Type="http://schemas.openxmlformats.org/officeDocument/2006/relationships/image" Target="/xl/media/image12.png" Id="rId11"/><Relationship Type="http://schemas.openxmlformats.org/officeDocument/2006/relationships/image" Target="/xl/media/image13.png" Id="rId12"/><Relationship Type="http://schemas.openxmlformats.org/officeDocument/2006/relationships/image" Target="/xl/media/image14.png" Id="rId13"/><Relationship Type="http://schemas.openxmlformats.org/officeDocument/2006/relationships/image" Target="/xl/media/image15.png" Id="rId14"/><Relationship Type="http://schemas.openxmlformats.org/officeDocument/2006/relationships/image" Target="/xl/media/image16.png" Id="rId15"/><Relationship Type="http://schemas.openxmlformats.org/officeDocument/2006/relationships/image" Target="/xl/media/image17.png" Id="rId16"/><Relationship Type="http://schemas.openxmlformats.org/officeDocument/2006/relationships/image" Target="/xl/media/image18.png" Id="rId17"/><Relationship Type="http://schemas.openxmlformats.org/officeDocument/2006/relationships/image" Target="/xl/media/image19.png" Id="rId18"/></Relationships>
</file>

<file path=xl/drawings/drawing1.xml><?xml version="1.0" encoding="utf-8"?>
<wsDr xmlns="http://schemas.openxmlformats.org/drawingml/2006/spreadsheetDrawing">
  <twoCellAnchor>
    <from>
      <col>24</col>
      <colOff>89647</colOff>
      <row>225</row>
      <rowOff>100852</rowOff>
    </from>
    <to>
      <col>26</col>
      <colOff>515471</colOff>
      <row>233</row>
      <rowOff>22411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  <twoCellAnchor editAs="oneCell">
    <from>
      <col>27</col>
      <colOff>1309430</colOff>
      <row>1</row>
      <rowOff>27173</rowOff>
    </from>
    <to>
      <col>27</col>
      <colOff>2317748</colOff>
      <row>4</row>
      <rowOff>23302</rowOff>
    </to>
    <pic>
      <nvPicPr>
        <cNvPr id="3" name="Picture 1"/>
        <cNvPicPr>
          <a:picLocks xmlns:a="http://schemas.openxmlformats.org/drawingml/2006/main" noChangeAspect="1"/>
        </cNvPicPr>
      </nvPicPr>
      <blipFill>
        <a:blip xmlns:a="http://schemas.openxmlformats.org/drawingml/2006/main" xmlns:r="http://schemas.openxmlformats.org/officeDocument/2006/relationships" cstate="print" r:embed="rId2"/>
        <a:stretch xmlns:a="http://schemas.openxmlformats.org/drawingml/2006/main">
          <a:fillRect/>
        </a:stretch>
      </blipFill>
      <spPr>
        <a:xfrm xmlns:a="http://schemas.openxmlformats.org/drawingml/2006/main">
          <a:off x="10379347" y="80090"/>
          <a:ext cx="1008318" cy="396160"/>
        </a:xfrm>
        <a:prstGeom xmlns:a="http://schemas.openxmlformats.org/drawingml/2006/main" prst="rect">
          <avLst/>
        </a:prstGeom>
        <a:ln xmlns:a="http://schemas.openxmlformats.org/drawingml/2006/main">
          <a:noFill/>
          <a:prstDash val="solid"/>
        </a:ln>
      </spPr>
    </pic>
    <clientData/>
  </twoCellAnchor>
</wsDr>
</file>

<file path=xl/drawings/drawing2.xml><?xml version="1.0" encoding="utf-8"?>
<wsDr xmlns="http://schemas.openxmlformats.org/drawingml/2006/spreadsheetDrawing">
  <twoCellAnchor editAs="oneCell">
    <from>
      <col>0</col>
      <colOff>139598</colOff>
      <row>15</row>
      <rowOff>180975</rowOff>
    </from>
    <to>
      <col>6</col>
      <colOff>95250</colOff>
      <row>23</row>
      <rowOff>38100</rowOff>
    </to>
    <pic>
      <nvPicPr>
        <cNvPr id="4" name="Picture 3"/>
        <cNvPicPr>
          <a:picLocks xmlns:a="http://schemas.openxmlformats.org/drawingml/2006/main" noChangeAspect="1"/>
        </cNvPicPr>
      </nvPicPr>
      <blipFill rotWithShape="1">
        <a:blip xmlns:a="http://schemas.openxmlformats.org/drawingml/2006/main" xmlns:r="http://schemas.openxmlformats.org/officeDocument/2006/relationships" r:embed="rId1"/>
        <a:srcRect xmlns:a="http://schemas.openxmlformats.org/drawingml/2006/main" t="630"/>
        <a:stretch xmlns:a="http://schemas.openxmlformats.org/drawingml/2006/main">
          <a:fillRect/>
        </a:stretch>
      </blipFill>
      <spPr>
        <a:xfrm xmlns:a="http://schemas.openxmlformats.org/drawingml/2006/main">
          <a:off x="139598" y="2828925"/>
          <a:ext cx="1098652" cy="1381125"/>
        </a:xfrm>
        <a:prstGeom xmlns:a="http://schemas.openxmlformats.org/drawingml/2006/main" prst="rect">
          <avLst/>
        </a:prstGeom>
        <a:ln xmlns:a="http://schemas.openxmlformats.org/drawingml/2006/main">
          <a:noFill/>
          <a:prstDash val="solid"/>
        </a:ln>
      </spPr>
    </pic>
    <clientData/>
  </twoCellAnchor>
  <twoCellAnchor>
    <from>
      <col>30</col>
      <colOff>152400</colOff>
      <row>16</row>
      <rowOff>9526</rowOff>
    </from>
    <to>
      <col>36</col>
      <colOff>76200</colOff>
      <row>23</row>
      <rowOff>28576</rowOff>
    </to>
    <grpSp>
      <nvGrpSpPr>
        <cNvPr id="5" name="Group 4"/>
        <cNvGrpSpPr/>
      </nvGrpSpPr>
      <grpSpPr>
        <a:xfrm xmlns:a="http://schemas.openxmlformats.org/drawingml/2006/main" rot="0">
          <a:off x="6629400" y="3222626"/>
          <a:ext cx="1219200" cy="1352550"/>
          <a:chOff x="7297293" y="2273427"/>
          <a:chExt cx="1511046" cy="2476500"/>
        </a:xfrm>
      </grpSpPr>
      <pic>
        <nvPicPr>
          <cNvPr id="7" name="Picture 6"/>
          <cNvPicPr>
            <a:picLocks xmlns:a="http://schemas.openxmlformats.org/drawingml/2006/main" noChangeAspect="1"/>
          </cNvPicPr>
        </nvPicPr>
        <blipFill rotWithShape="1">
          <a:blip xmlns:a="http://schemas.openxmlformats.org/drawingml/2006/main" xmlns:r="http://schemas.openxmlformats.org/officeDocument/2006/relationships" r:embed="rId2"/>
          <a:srcRect xmlns:a="http://schemas.openxmlformats.org/drawingml/2006/main" l="60563"/>
          <a:stretch xmlns:a="http://schemas.openxmlformats.org/drawingml/2006/main">
            <a:fillRect/>
          </a:stretch>
        </blipFill>
        <spPr>
          <a:xfrm xmlns:a="http://schemas.openxmlformats.org/drawingml/2006/main">
            <a:off x="8034528" y="2273427"/>
            <a:ext cx="773811" cy="2476500"/>
          </a:xfrm>
          <a:prstGeom xmlns:a="http://schemas.openxmlformats.org/drawingml/2006/main" prst="rect">
            <avLst/>
          </a:prstGeom>
          <a:ln xmlns:a="http://schemas.openxmlformats.org/drawingml/2006/main">
            <a:prstDash val="solid"/>
          </a:ln>
        </spPr>
      </pic>
    </grpSp>
    <clientData/>
  </twoCellAnchor>
  <twoCellAnchor editAs="oneCell">
    <from>
      <col>1</col>
      <colOff>152400</colOff>
      <row>37</row>
      <rowOff>85725</rowOff>
    </from>
    <to>
      <col>22</col>
      <colOff>151900</colOff>
      <row>40</row>
      <rowOff>38035</rowOff>
    </to>
    <pic>
      <nvPicPr>
        <cNvPr id="17" name="Picture 16"/>
        <cNvPicPr>
          <a:picLocks xmlns:a="http://schemas.openxmlformats.org/drawingml/2006/main" noChangeAspect="1"/>
        </cNvPicPr>
      </nvPicPr>
      <blipFill>
        <a:blip xmlns:a="http://schemas.openxmlformats.org/drawingml/2006/main" xmlns:r="http://schemas.openxmlformats.org/officeDocument/2006/relationships" r:embed="rId3"/>
        <a:stretch xmlns:a="http://schemas.openxmlformats.org/drawingml/2006/main">
          <a:fillRect/>
        </a:stretch>
      </blipFill>
      <spPr>
        <a:xfrm xmlns:a="http://schemas.openxmlformats.org/drawingml/2006/main">
          <a:off x="342900" y="6543675"/>
          <a:ext cx="4000000" cy="523810"/>
        </a:xfrm>
        <a:prstGeom xmlns:a="http://schemas.openxmlformats.org/drawingml/2006/main" prst="rect">
          <avLst/>
        </a:prstGeom>
        <a:ln xmlns:a="http://schemas.openxmlformats.org/drawingml/2006/main">
          <a:noFill/>
          <a:prstDash val="solid"/>
        </a:ln>
      </spPr>
    </pic>
    <clientData/>
  </twoCellAnchor>
  <twoCellAnchor editAs="oneCell">
    <from>
      <col>18</col>
      <colOff>19050</colOff>
      <row>49</row>
      <rowOff>47625</rowOff>
    </from>
    <to>
      <col>58</col>
      <colOff>141907</colOff>
      <row>61</row>
      <rowOff>47339</rowOff>
    </to>
    <pic>
      <nvPicPr>
        <cNvPr id="2" name="Picture 1"/>
        <cNvPicPr>
          <a:picLocks xmlns:a="http://schemas.openxmlformats.org/drawingml/2006/main" noChangeAspect="1"/>
        </cNvPicPr>
      </nvPicPr>
      <blipFill>
        <a:blip xmlns:a="http://schemas.openxmlformats.org/drawingml/2006/main" xmlns:r="http://schemas.openxmlformats.org/officeDocument/2006/relationships" r:embed="rId4"/>
        <a:stretch xmlns:a="http://schemas.openxmlformats.org/drawingml/2006/main">
          <a:fillRect/>
        </a:stretch>
      </blipFill>
      <spPr>
        <a:xfrm xmlns:a="http://schemas.openxmlformats.org/drawingml/2006/main">
          <a:off x="3448050" y="8601075"/>
          <a:ext cx="7742857" cy="2285714"/>
        </a:xfrm>
        <a:prstGeom xmlns:a="http://schemas.openxmlformats.org/drawingml/2006/main" prst="rect">
          <avLst/>
        </a:prstGeom>
        <a:ln xmlns:a="http://schemas.openxmlformats.org/drawingml/2006/main">
          <a:noFill/>
          <a:prstDash val="solid"/>
        </a:ln>
      </spPr>
    </pic>
    <clientData/>
  </twoCellAnchor>
  <twoCellAnchor editAs="oneCell">
    <from>
      <col>0</col>
      <colOff>171450</colOff>
      <row>57</row>
      <rowOff>152400</rowOff>
    </from>
    <to>
      <col>34</col>
      <colOff>151593</colOff>
      <row>68</row>
      <rowOff>152138</rowOff>
    </to>
    <pic>
      <nvPicPr>
        <cNvPr id="3" name="Picture 2"/>
        <cNvPicPr>
          <a:picLocks xmlns:a="http://schemas.openxmlformats.org/drawingml/2006/main" noChangeAspect="1"/>
        </cNvPicPr>
      </nvPicPr>
      <blipFill>
        <a:blip xmlns:a="http://schemas.openxmlformats.org/drawingml/2006/main" xmlns:r="http://schemas.openxmlformats.org/officeDocument/2006/relationships" r:embed="rId5"/>
        <a:stretch xmlns:a="http://schemas.openxmlformats.org/drawingml/2006/main">
          <a:fillRect/>
        </a:stretch>
      </blipFill>
      <spPr>
        <a:xfrm xmlns:a="http://schemas.openxmlformats.org/drawingml/2006/main">
          <a:off x="171450" y="11182350"/>
          <a:ext cx="6457143" cy="2095238"/>
        </a:xfrm>
        <a:prstGeom xmlns:a="http://schemas.openxmlformats.org/drawingml/2006/main" prst="rect">
          <avLst/>
        </a:prstGeom>
        <a:ln xmlns:a="http://schemas.openxmlformats.org/drawingml/2006/main">
          <a:noFill/>
          <a:prstDash val="solid"/>
        </a:ln>
      </spPr>
    </pic>
    <clientData/>
  </twoCellAnchor>
  <twoCellAnchor editAs="oneCell">
    <from>
      <col>19</col>
      <colOff>180975</colOff>
      <row>70</row>
      <rowOff>123825</rowOff>
    </from>
    <to>
      <col>60</col>
      <colOff>8570</colOff>
      <row>80</row>
      <rowOff>37873</rowOff>
    </to>
    <pic>
      <nvPicPr>
        <cNvPr id="22" name="Picture 21"/>
        <cNvPicPr>
          <a:picLocks xmlns:a="http://schemas.openxmlformats.org/drawingml/2006/main" noChangeAspect="1"/>
        </cNvPicPr>
      </nvPicPr>
      <blipFill>
        <a:blip xmlns:a="http://schemas.openxmlformats.org/drawingml/2006/main" xmlns:r="http://schemas.openxmlformats.org/officeDocument/2006/relationships" r:embed="rId6"/>
        <a:stretch xmlns:a="http://schemas.openxmlformats.org/drawingml/2006/main">
          <a:fillRect/>
        </a:stretch>
      </blipFill>
      <spPr>
        <a:xfrm xmlns:a="http://schemas.openxmlformats.org/drawingml/2006/main">
          <a:off x="3800475" y="12677775"/>
          <a:ext cx="7638095" cy="1819048"/>
        </a:xfrm>
        <a:prstGeom xmlns:a="http://schemas.openxmlformats.org/drawingml/2006/main" prst="rect">
          <avLst/>
        </a:prstGeom>
        <a:ln xmlns:a="http://schemas.openxmlformats.org/drawingml/2006/main">
          <a:noFill/>
          <a:prstDash val="solid"/>
        </a:ln>
      </spPr>
    </pic>
    <clientData/>
  </twoCellAnchor>
  <twoCellAnchor editAs="oneCell">
    <from>
      <col>0</col>
      <colOff>114300</colOff>
      <row>75</row>
      <rowOff>47625</rowOff>
    </from>
    <to>
      <col>17</col>
      <colOff>171038</colOff>
      <row>78</row>
      <rowOff>28506</rowOff>
    </to>
    <pic>
      <nvPicPr>
        <cNvPr id="27" name="Picture 26"/>
        <cNvPicPr>
          <a:picLocks xmlns:a="http://schemas.openxmlformats.org/drawingml/2006/main" noChangeAspect="1"/>
        </cNvPicPr>
      </nvPicPr>
      <blipFill>
        <a:blip xmlns:a="http://schemas.openxmlformats.org/drawingml/2006/main" xmlns:r="http://schemas.openxmlformats.org/officeDocument/2006/relationships" r:embed="rId7"/>
        <a:stretch xmlns:a="http://schemas.openxmlformats.org/drawingml/2006/main">
          <a:fillRect/>
        </a:stretch>
      </blipFill>
      <spPr>
        <a:xfrm xmlns:a="http://schemas.openxmlformats.org/drawingml/2006/main">
          <a:off x="114300" y="13554075"/>
          <a:ext cx="3295238" cy="552381"/>
        </a:xfrm>
        <a:prstGeom xmlns:a="http://schemas.openxmlformats.org/drawingml/2006/main" prst="rect">
          <avLst/>
        </a:prstGeom>
        <a:ln xmlns:a="http://schemas.openxmlformats.org/drawingml/2006/main">
          <a:noFill/>
          <a:prstDash val="solid"/>
        </a:ln>
      </spPr>
    </pic>
    <clientData/>
  </twoCellAnchor>
  <twoCellAnchor editAs="oneCell">
    <from>
      <col>1</col>
      <colOff>142875</colOff>
      <row>87</row>
      <rowOff>152400</rowOff>
    </from>
    <to>
      <col>25</col>
      <colOff>85161</colOff>
      <row>100</row>
      <rowOff>75900</rowOff>
    </to>
    <pic>
      <nvPicPr>
        <cNvPr id="31" name="Picture 30"/>
        <cNvPicPr>
          <a:picLocks xmlns:a="http://schemas.openxmlformats.org/drawingml/2006/main" noChangeAspect="1"/>
        </cNvPicPr>
      </nvPicPr>
      <blipFill>
        <a:blip xmlns:a="http://schemas.openxmlformats.org/drawingml/2006/main" xmlns:r="http://schemas.openxmlformats.org/officeDocument/2006/relationships" r:embed="rId8"/>
        <a:stretch xmlns:a="http://schemas.openxmlformats.org/drawingml/2006/main">
          <a:fillRect/>
        </a:stretch>
      </blipFill>
      <spPr>
        <a:xfrm xmlns:a="http://schemas.openxmlformats.org/drawingml/2006/main">
          <a:off x="333375" y="16563975"/>
          <a:ext cx="4514286" cy="2400000"/>
        </a:xfrm>
        <a:prstGeom xmlns:a="http://schemas.openxmlformats.org/drawingml/2006/main" prst="rect">
          <avLst/>
        </a:prstGeom>
        <a:ln xmlns:a="http://schemas.openxmlformats.org/drawingml/2006/main">
          <a:noFill/>
          <a:prstDash val="solid"/>
        </a:ln>
      </spPr>
    </pic>
    <clientData/>
  </twoCellAnchor>
  <twoCellAnchor editAs="oneCell">
    <from>
      <col>36</col>
      <colOff>123825</colOff>
      <row>82</row>
      <rowOff>47625</rowOff>
    </from>
    <to>
      <col>45</col>
      <colOff>47420</colOff>
      <row>89</row>
      <rowOff>114119</rowOff>
    </to>
    <pic>
      <nvPicPr>
        <cNvPr id="32" name="Picture 31"/>
        <cNvPicPr>
          <a:picLocks xmlns:a="http://schemas.openxmlformats.org/drawingml/2006/main" noChangeAspect="1"/>
        </cNvPicPr>
      </nvPicPr>
      <blipFill>
        <a:blip xmlns:a="http://schemas.openxmlformats.org/drawingml/2006/main" xmlns:r="http://schemas.openxmlformats.org/officeDocument/2006/relationships" r:embed="rId9"/>
        <a:stretch xmlns:a="http://schemas.openxmlformats.org/drawingml/2006/main">
          <a:fillRect/>
        </a:stretch>
      </blipFill>
      <spPr>
        <a:xfrm xmlns:a="http://schemas.openxmlformats.org/drawingml/2006/main">
          <a:off x="6981825" y="15459075"/>
          <a:ext cx="1638095" cy="1447619"/>
        </a:xfrm>
        <a:prstGeom xmlns:a="http://schemas.openxmlformats.org/drawingml/2006/main" prst="rect">
          <avLst/>
        </a:prstGeom>
        <a:ln xmlns:a="http://schemas.openxmlformats.org/drawingml/2006/main">
          <a:noFill/>
          <a:prstDash val="solid"/>
        </a:ln>
      </spPr>
    </pic>
    <clientData/>
  </twoCellAnchor>
  <twoCellAnchor editAs="oneCell">
    <from>
      <col>2</col>
      <colOff>9525</colOff>
      <row>105</row>
      <rowOff>104775</rowOff>
    </from>
    <to>
      <col>18</col>
      <colOff>75811</colOff>
      <row>109</row>
      <rowOff>114204</rowOff>
    </to>
    <pic>
      <nvPicPr>
        <cNvPr id="42" name="Picture 41"/>
        <cNvPicPr>
          <a:picLocks xmlns:a="http://schemas.openxmlformats.org/drawingml/2006/main" noChangeAspect="1"/>
        </cNvPicPr>
      </nvPicPr>
      <blipFill>
        <a:blip xmlns:a="http://schemas.openxmlformats.org/drawingml/2006/main" xmlns:r="http://schemas.openxmlformats.org/officeDocument/2006/relationships" r:embed="rId10"/>
        <a:stretch xmlns:a="http://schemas.openxmlformats.org/drawingml/2006/main">
          <a:fillRect/>
        </a:stretch>
      </blipFill>
      <spPr>
        <a:xfrm xmlns:a="http://schemas.openxmlformats.org/drawingml/2006/main">
          <a:off x="390525" y="20154900"/>
          <a:ext cx="3114286" cy="771429"/>
        </a:xfrm>
        <a:prstGeom xmlns:a="http://schemas.openxmlformats.org/drawingml/2006/main" prst="rect">
          <avLst/>
        </a:prstGeom>
        <a:ln xmlns:a="http://schemas.openxmlformats.org/drawingml/2006/main">
          <a:noFill/>
          <a:prstDash val="solid"/>
        </a:ln>
      </spPr>
    </pic>
    <clientData/>
  </twoCellAnchor>
  <twoCellAnchor editAs="oneCell">
    <from>
      <col>44</col>
      <colOff>104775</colOff>
      <row>113</row>
      <rowOff>57150</rowOff>
    </from>
    <to>
      <col>56</col>
      <colOff>133061</colOff>
      <row>114</row>
      <rowOff>123793</rowOff>
    </to>
    <pic>
      <nvPicPr>
        <cNvPr id="49" name="Picture 48"/>
        <cNvPicPr>
          <a:picLocks xmlns:a="http://schemas.openxmlformats.org/drawingml/2006/main" noChangeAspect="1"/>
        </cNvPicPr>
      </nvPicPr>
      <blipFill>
        <a:blip xmlns:a="http://schemas.openxmlformats.org/drawingml/2006/main" xmlns:r="http://schemas.openxmlformats.org/officeDocument/2006/relationships" r:embed="rId11"/>
        <a:stretch xmlns:a="http://schemas.openxmlformats.org/drawingml/2006/main">
          <a:fillRect/>
        </a:stretch>
      </blipFill>
      <spPr>
        <a:xfrm xmlns:a="http://schemas.openxmlformats.org/drawingml/2006/main">
          <a:off x="8486775" y="21631275"/>
          <a:ext cx="2314286" cy="257143"/>
        </a:xfrm>
        <a:prstGeom xmlns:a="http://schemas.openxmlformats.org/drawingml/2006/main" prst="rect">
          <avLst/>
        </a:prstGeom>
        <a:ln xmlns:a="http://schemas.openxmlformats.org/drawingml/2006/main">
          <a:prstDash val="solid"/>
        </a:ln>
      </spPr>
    </pic>
    <clientData/>
  </twoCellAnchor>
  <twoCellAnchor>
    <from>
      <col>2</col>
      <colOff>66675</colOff>
      <row>122</row>
      <rowOff>0</rowOff>
    </from>
    <to>
      <col>14</col>
      <colOff>47342</colOff>
      <row>126</row>
      <rowOff>152286</rowOff>
    </to>
    <pic>
      <nvPicPr>
        <cNvPr id="53" name="Picture 52"/>
        <cNvPicPr>
          <a:picLocks xmlns:a="http://schemas.openxmlformats.org/drawingml/2006/main" noChangeAspect="1"/>
        </cNvPicPr>
      </nvPicPr>
      <blipFill>
        <a:blip xmlns:a="http://schemas.openxmlformats.org/drawingml/2006/main" xmlns:r="http://schemas.openxmlformats.org/officeDocument/2006/relationships" r:embed="rId12"/>
        <a:stretch xmlns:a="http://schemas.openxmlformats.org/drawingml/2006/main">
          <a:fillRect/>
        </a:stretch>
      </blipFill>
      <spPr>
        <a:xfrm xmlns:a="http://schemas.openxmlformats.org/drawingml/2006/main">
          <a:off x="447675" y="23288625"/>
          <a:ext cx="2266667" cy="914286"/>
        </a:xfrm>
        <a:prstGeom xmlns:a="http://schemas.openxmlformats.org/drawingml/2006/main" prst="rect">
          <avLst/>
        </a:prstGeom>
        <a:ln xmlns:a="http://schemas.openxmlformats.org/drawingml/2006/main">
          <a:noFill/>
          <a:prstDash val="solid"/>
        </a:ln>
      </spPr>
    </pic>
    <clientData/>
  </twoCellAnchor>
  <twoCellAnchor>
    <from>
      <col>45</col>
      <colOff>171450</colOff>
      <row>121</row>
      <rowOff>104775</rowOff>
    </from>
    <to>
      <col>61</col>
      <colOff>190117</colOff>
      <row>126</row>
      <rowOff>47513</rowOff>
    </to>
    <pic>
      <nvPicPr>
        <cNvPr id="54" name="Picture 53"/>
        <cNvPicPr>
          <a:picLocks xmlns:a="http://schemas.openxmlformats.org/drawingml/2006/main" noChangeAspect="1"/>
        </cNvPicPr>
      </nvPicPr>
      <blipFill>
        <a:blip xmlns:a="http://schemas.openxmlformats.org/drawingml/2006/main" xmlns:r="http://schemas.openxmlformats.org/officeDocument/2006/relationships" r:embed="rId13"/>
        <a:stretch xmlns:a="http://schemas.openxmlformats.org/drawingml/2006/main">
          <a:fillRect/>
        </a:stretch>
      </blipFill>
      <spPr>
        <a:xfrm xmlns:a="http://schemas.openxmlformats.org/drawingml/2006/main">
          <a:off x="8743950" y="23202900"/>
          <a:ext cx="3066667" cy="895238"/>
        </a:xfrm>
        <a:prstGeom xmlns:a="http://schemas.openxmlformats.org/drawingml/2006/main" prst="rect">
          <avLst/>
        </a:prstGeom>
        <a:ln xmlns:a="http://schemas.openxmlformats.org/drawingml/2006/main">
          <a:noFill/>
          <a:prstDash val="solid"/>
        </a:ln>
      </spPr>
    </pic>
    <clientData/>
  </twoCellAnchor>
  <twoCellAnchor editAs="oneCell">
    <from>
      <col>3</col>
      <colOff>0</colOff>
      <row>133</row>
      <rowOff>66675</rowOff>
    </from>
    <to>
      <col>58</col>
      <colOff>36786</colOff>
      <row>139</row>
      <rowOff>133199</rowOff>
    </to>
    <pic>
      <nvPicPr>
        <cNvPr id="59" name="Picture 58"/>
        <cNvPicPr>
          <a:picLocks xmlns:a="http://schemas.openxmlformats.org/drawingml/2006/main" noChangeAspect="1"/>
        </cNvPicPr>
      </nvPicPr>
      <blipFill>
        <a:blip xmlns:a="http://schemas.openxmlformats.org/drawingml/2006/main" xmlns:r="http://schemas.openxmlformats.org/officeDocument/2006/relationships" r:embed="rId14"/>
        <a:stretch xmlns:a="http://schemas.openxmlformats.org/drawingml/2006/main">
          <a:fillRect/>
        </a:stretch>
      </blipFill>
      <spPr>
        <a:xfrm xmlns:a="http://schemas.openxmlformats.org/drawingml/2006/main">
          <a:off x="571500" y="25450800"/>
          <a:ext cx="10514286" cy="1209524"/>
        </a:xfrm>
        <a:prstGeom xmlns:a="http://schemas.openxmlformats.org/drawingml/2006/main" prst="rect">
          <avLst/>
        </a:prstGeom>
        <a:ln xmlns:a="http://schemas.openxmlformats.org/drawingml/2006/main">
          <a:prstDash val="solid"/>
        </a:ln>
      </spPr>
    </pic>
    <clientData/>
  </twoCellAnchor>
  <twoCellAnchor editAs="oneCell">
    <from>
      <col>5</col>
      <colOff>171450</colOff>
      <row>154</row>
      <rowOff>152400</rowOff>
    </from>
    <to>
      <col>57</col>
      <colOff>170212</colOff>
      <row>172</row>
      <rowOff>180543</rowOff>
    </to>
    <pic>
      <nvPicPr>
        <cNvPr id="67" name="Picture 66"/>
        <cNvPicPr>
          <a:picLocks xmlns:a="http://schemas.openxmlformats.org/drawingml/2006/main" noChangeAspect="1"/>
        </cNvPicPr>
      </nvPicPr>
      <blipFill>
        <a:blip xmlns:a="http://schemas.openxmlformats.org/drawingml/2006/main" xmlns:r="http://schemas.openxmlformats.org/officeDocument/2006/relationships" r:embed="rId15"/>
        <a:stretch xmlns:a="http://schemas.openxmlformats.org/drawingml/2006/main">
          <a:fillRect/>
        </a:stretch>
      </blipFill>
      <spPr>
        <a:xfrm xmlns:a="http://schemas.openxmlformats.org/drawingml/2006/main">
          <a:off x="1123950" y="29537025"/>
          <a:ext cx="9904762" cy="3457143"/>
        </a:xfrm>
        <a:prstGeom xmlns:a="http://schemas.openxmlformats.org/drawingml/2006/main" prst="rect">
          <avLst/>
        </a:prstGeom>
        <a:ln xmlns:a="http://schemas.openxmlformats.org/drawingml/2006/main">
          <a:noFill/>
          <a:prstDash val="solid"/>
        </a:ln>
      </spPr>
    </pic>
    <clientData/>
  </twoCellAnchor>
  <twoCellAnchor editAs="oneCell">
    <from>
      <col>14</col>
      <colOff>66675</colOff>
      <row>24</row>
      <rowOff>152400</rowOff>
    </from>
    <to>
      <col>38</col>
      <colOff>18484</colOff>
      <row>28</row>
      <rowOff>180876</rowOff>
    </to>
    <pic>
      <nvPicPr>
        <cNvPr id="12" name="Picture 11"/>
        <cNvPicPr>
          <a:picLocks xmlns:a="http://schemas.openxmlformats.org/drawingml/2006/main" noChangeAspect="1"/>
        </cNvPicPr>
      </nvPicPr>
      <blipFill>
        <a:blip xmlns:a="http://schemas.openxmlformats.org/drawingml/2006/main" xmlns:r="http://schemas.openxmlformats.org/officeDocument/2006/relationships" r:embed="rId16"/>
        <a:stretch xmlns:a="http://schemas.openxmlformats.org/drawingml/2006/main">
          <a:fillRect/>
        </a:stretch>
      </blipFill>
      <spPr>
        <a:xfrm xmlns:a="http://schemas.openxmlformats.org/drawingml/2006/main">
          <a:off x="2733675" y="4895850"/>
          <a:ext cx="4523809" cy="790476"/>
        </a:xfrm>
        <a:prstGeom xmlns:a="http://schemas.openxmlformats.org/drawingml/2006/main" prst="rect">
          <avLst/>
        </a:prstGeom>
        <a:ln xmlns:a="http://schemas.openxmlformats.org/drawingml/2006/main">
          <a:noFill/>
          <a:prstDash val="solid"/>
        </a:ln>
      </spPr>
    </pic>
    <clientData/>
  </twoCellAnchor>
  <twoCellAnchor>
    <from>
      <col>30</col>
      <colOff>19050</colOff>
      <row>96</row>
      <rowOff>47625</rowOff>
    </from>
    <to>
      <col>59</col>
      <colOff>132645</colOff>
      <row>111</row>
      <rowOff>9173</rowOff>
    </to>
    <grpSp>
      <nvGrpSpPr>
        <cNvPr id="15" name="Group 14"/>
        <cNvGrpSpPr/>
      </nvGrpSpPr>
      <grpSpPr>
        <a:xfrm xmlns:a="http://schemas.openxmlformats.org/drawingml/2006/main" rot="0">
          <a:off x="6496050" y="18538825"/>
          <a:ext cx="6374695" cy="2819048"/>
          <a:chOff x="5734050" y="18554700"/>
          <a:chExt cx="5638095" cy="2819048"/>
        </a:xfrm>
      </grpSpPr>
      <pic>
        <nvPicPr>
          <cNvPr id="14" name="Picture 13"/>
          <cNvPicPr>
            <a:picLocks xmlns:a="http://schemas.openxmlformats.org/drawingml/2006/main" noChangeAspect="1"/>
          </cNvPicPr>
        </nvPicPr>
        <blipFill rotWithShape="1">
          <a:blip xmlns:a="http://schemas.openxmlformats.org/drawingml/2006/main" xmlns:r="http://schemas.openxmlformats.org/officeDocument/2006/relationships" r:embed="rId17"/>
          <a:srcRect xmlns:a="http://schemas.openxmlformats.org/drawingml/2006/main" r="5129" b="21728"/>
          <a:stretch xmlns:a="http://schemas.openxmlformats.org/drawingml/2006/main">
            <a:fillRect/>
          </a:stretch>
        </blipFill>
        <spPr>
          <a:xfrm xmlns:a="http://schemas.openxmlformats.org/drawingml/2006/main">
            <a:off x="10201275" y="20031075"/>
            <a:ext cx="1057275" cy="171450"/>
          </a:xfrm>
          <a:prstGeom xmlns:a="http://schemas.openxmlformats.org/drawingml/2006/main" prst="rect">
            <avLst/>
          </a:prstGeom>
          <a:ln xmlns:a="http://schemas.openxmlformats.org/drawingml/2006/main">
            <a:prstDash val="solid"/>
          </a:ln>
        </spPr>
      </pic>
    </grpSp>
    <clientData/>
  </twoCellAnchor>
  <twoCellAnchor>
    <from>
      <col>24</col>
      <colOff>47625</colOff>
      <row>142</row>
      <rowOff>66675</rowOff>
    </from>
    <to>
      <col>58</col>
      <colOff>18244</colOff>
      <row>148</row>
      <rowOff>180818</rowOff>
    </to>
    <grpSp>
      <nvGrpSpPr>
        <cNvPr id="20" name="Group 19"/>
        <cNvGrpSpPr/>
      </nvGrpSpPr>
      <grpSpPr>
        <a:xfrm xmlns:a="http://schemas.openxmlformats.org/drawingml/2006/main" rot="0">
          <a:off x="5229225" y="27320875"/>
          <a:ext cx="7311219" cy="1257143"/>
          <a:chOff x="4619625" y="27336750"/>
          <a:chExt cx="6447619" cy="1257143"/>
        </a:xfrm>
      </grpSpPr>
      <pic>
        <nvPicPr>
          <cNvPr id="19" name="Picture 18"/>
          <cNvPicPr>
            <a:picLocks xmlns:a="http://schemas.openxmlformats.org/drawingml/2006/main" noChangeAspect="1"/>
          </cNvPicPr>
        </nvPicPr>
        <blipFill>
          <a:blip xmlns:a="http://schemas.openxmlformats.org/drawingml/2006/main" xmlns:r="http://schemas.openxmlformats.org/officeDocument/2006/relationships" r:embed="rId18"/>
          <a:stretch xmlns:a="http://schemas.openxmlformats.org/drawingml/2006/main">
            <a:fillRect/>
          </a:stretch>
        </blipFill>
        <spPr>
          <a:xfrm xmlns:a="http://schemas.openxmlformats.org/drawingml/2006/main">
            <a:off x="9839325" y="27403425"/>
            <a:ext cx="1219048" cy="219048"/>
          </a:xfrm>
          <a:prstGeom xmlns:a="http://schemas.openxmlformats.org/drawingml/2006/main" prst="rect">
            <avLst/>
          </a:prstGeom>
          <a:ln xmlns:a="http://schemas.openxmlformats.org/drawingml/2006/main">
            <a:prstDash val="solid"/>
          </a:ln>
        </spPr>
      </pic>
    </grpSp>
    <clientData/>
  </twoCellAnchor>
</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Relationships xmlns="http://schemas.openxmlformats.org/package/2006/relationships"><Relationship Type="http://schemas.openxmlformats.org/officeDocument/2006/relationships/drawing" Target="/xl/drawings/drawing1.xml" Id="rId1"/><Relationship Type="http://schemas.openxmlformats.org/officeDocument/2006/relationships/vmlDrawing" Target="/xl/drawings/vmlDrawing1.vml" Id="anysvml"/></Relationships>
</file>

<file path=xl/worksheets/_rels/sheet5.xml.rels><Relationships xmlns="http://schemas.openxmlformats.org/package/2006/relationships"><Relationship Type="http://schemas.openxmlformats.org/officeDocument/2006/relationships/hyperlink" Target="mailto:vikas.burman@nagarro.com" TargetMode="External" Id="rId1"/><Relationship Type="http://schemas.openxmlformats.org/officeDocument/2006/relationships/drawing" Target="/xl/drawings/drawing2.xml" Id="rId2"/></Relationships>
</file>

<file path=xl/worksheets/sheet1.xml><?xml version="1.0" encoding="utf-8"?>
<worksheet xmlns="http://schemas.openxmlformats.org/spreadsheetml/2006/main">
  <sheetPr codeName="Sheet1">
    <outlinePr summaryBelow="0" summaryRight="0"/>
    <pageSetUpPr/>
  </sheetPr>
  <dimension ref="B2:C59"/>
  <sheetViews>
    <sheetView workbookViewId="0">
      <selection activeCell="B51" sqref="B51:C55"/>
    </sheetView>
  </sheetViews>
  <sheetFormatPr baseColWidth="10" defaultColWidth="8.83203125" defaultRowHeight="15" outlineLevelRow="1"/>
  <cols>
    <col width="3.83203125" customWidth="1" style="337" min="1" max="1"/>
    <col width="14.1640625" customWidth="1" style="337" min="2" max="2"/>
    <col width="32.33203125" customWidth="1" style="337" min="3" max="3"/>
  </cols>
  <sheetData>
    <row r="2" collapsed="1" s="337">
      <c r="B2" s="195" t="inlineStr">
        <is>
          <t>YES_NO_LIST</t>
        </is>
      </c>
      <c r="C2" s="3" t="n"/>
    </row>
    <row r="3" hidden="1" outlineLevel="1" s="337">
      <c r="B3" s="196" t="inlineStr">
        <is>
          <t>-</t>
        </is>
      </c>
      <c r="C3" s="1" t="n"/>
    </row>
    <row r="4" hidden="1" outlineLevel="1" s="337">
      <c r="B4" s="196" t="inlineStr">
        <is>
          <t>Yes</t>
        </is>
      </c>
      <c r="C4" s="1" t="n"/>
    </row>
    <row r="5" hidden="1" outlineLevel="1" s="337">
      <c r="B5" s="196" t="inlineStr">
        <is>
          <t>No</t>
        </is>
      </c>
      <c r="C5" s="1" t="n"/>
    </row>
    <row r="7" collapsed="1" s="337">
      <c r="B7" s="195" t="inlineStr">
        <is>
          <t>ROLES_LIST</t>
        </is>
      </c>
      <c r="C7" s="3" t="n"/>
    </row>
    <row r="8" hidden="1" outlineLevel="1" s="337">
      <c r="B8" s="196" t="inlineStr">
        <is>
          <t>-</t>
        </is>
      </c>
      <c r="C8" s="1" t="n"/>
    </row>
    <row r="9" hidden="1" outlineLevel="1" s="337">
      <c r="B9" s="196" t="inlineStr">
        <is>
          <t>BA</t>
        </is>
      </c>
      <c r="C9" s="1" t="n"/>
    </row>
    <row r="10" hidden="1" outlineLevel="1" s="337">
      <c r="B10" s="196" t="inlineStr">
        <is>
          <t>GD</t>
        </is>
      </c>
      <c r="C10" s="1" t="n"/>
    </row>
    <row r="11" hidden="1" outlineLevel="1" s="337">
      <c r="B11" s="196" t="inlineStr">
        <is>
          <t>OC</t>
        </is>
      </c>
      <c r="C11" s="1" t="n"/>
    </row>
    <row r="12" hidden="1" outlineLevel="1" s="337">
      <c r="B12" s="196" t="inlineStr">
        <is>
          <t>PM</t>
        </is>
      </c>
      <c r="C12" s="1" t="n"/>
    </row>
    <row r="13" hidden="1" outlineLevel="1" s="337">
      <c r="B13" s="196" t="inlineStr">
        <is>
          <t>TA</t>
        </is>
      </c>
      <c r="C13" s="1" t="n"/>
    </row>
    <row r="14" hidden="1" outlineLevel="1" s="337">
      <c r="B14" s="196" t="inlineStr">
        <is>
          <t>TL</t>
        </is>
      </c>
      <c r="C14" s="1" t="n"/>
    </row>
    <row r="15" hidden="1" outlineLevel="1" s="337">
      <c r="B15" s="196" t="inlineStr">
        <is>
          <t>DEV</t>
        </is>
      </c>
      <c r="C15" s="1" t="n"/>
    </row>
    <row r="16" hidden="1" outlineLevel="1" s="337">
      <c r="B16" s="196" t="inlineStr">
        <is>
          <t>QA</t>
        </is>
      </c>
      <c r="C16" s="1" t="n"/>
    </row>
    <row r="18" collapsed="1" s="337">
      <c r="B18" s="195" t="inlineStr">
        <is>
          <t>REGIONS_LIST</t>
        </is>
      </c>
      <c r="C18" s="3" t="n"/>
    </row>
    <row r="19" hidden="1" outlineLevel="1" s="337">
      <c r="B19" s="196" t="inlineStr">
        <is>
          <t>-</t>
        </is>
      </c>
      <c r="C19" s="1" t="n"/>
    </row>
    <row r="20" hidden="1" outlineLevel="1" s="337">
      <c r="B20" s="196" t="inlineStr">
        <is>
          <t>USA</t>
        </is>
      </c>
      <c r="C20" s="1" t="n"/>
    </row>
    <row r="21" hidden="1" outlineLevel="1" s="337">
      <c r="B21" s="196" t="inlineStr">
        <is>
          <t>Mexico</t>
        </is>
      </c>
      <c r="C21" s="1" t="n"/>
    </row>
    <row r="22" hidden="1" outlineLevel="1" s="337">
      <c r="B22" s="196" t="inlineStr">
        <is>
          <t>Europe</t>
        </is>
      </c>
      <c r="C22" s="1" t="n"/>
    </row>
    <row r="23" hidden="1" outlineLevel="1" s="337">
      <c r="B23" s="196" t="inlineStr">
        <is>
          <t>Asia (except India)</t>
        </is>
      </c>
      <c r="C23" s="1" t="n"/>
    </row>
    <row r="24" hidden="1" outlineLevel="1" s="337">
      <c r="B24" s="196" t="inlineStr">
        <is>
          <t>India</t>
        </is>
      </c>
      <c r="C24" s="1" t="n"/>
    </row>
    <row r="26" collapsed="1" s="337">
      <c r="B26" s="195" t="inlineStr">
        <is>
          <t>CURRENCIES_LIST</t>
        </is>
      </c>
      <c r="C26" s="3" t="n"/>
    </row>
    <row r="27" hidden="1" outlineLevel="1" s="337">
      <c r="B27" s="196" t="inlineStr">
        <is>
          <t>-</t>
        </is>
      </c>
      <c r="C27" s="1" t="n"/>
    </row>
    <row r="28" hidden="1" outlineLevel="1" s="337">
      <c r="B28" s="196" t="inlineStr">
        <is>
          <t>USD</t>
        </is>
      </c>
      <c r="C28" s="1" t="n"/>
    </row>
    <row r="29" hidden="1" outlineLevel="1" s="337">
      <c r="B29" s="196" t="inlineStr">
        <is>
          <t>Euro</t>
        </is>
      </c>
      <c r="C29" s="1" t="n"/>
    </row>
    <row r="31" collapsed="1" s="337">
      <c r="B31" s="195" t="inlineStr">
        <is>
          <t>PROJECT_TYPES_LIST</t>
        </is>
      </c>
      <c r="C31" s="2" t="n"/>
    </row>
    <row r="32" hidden="1" outlineLevel="1" s="337">
      <c r="B32" s="196" t="inlineStr">
        <is>
          <t>-</t>
        </is>
      </c>
      <c r="C32" s="1" t="n"/>
    </row>
    <row r="33" hidden="1" outlineLevel="1" s="337">
      <c r="B33" s="196" t="inlineStr">
        <is>
          <t>Development</t>
        </is>
      </c>
      <c r="C33" s="1" t="n"/>
    </row>
    <row r="34" hidden="1" outlineLevel="1" s="337">
      <c r="B34" s="196" t="inlineStr">
        <is>
          <t>Consulting</t>
        </is>
      </c>
      <c r="C34" s="1" t="n"/>
    </row>
    <row r="35" hidden="1" outlineLevel="1" s="337">
      <c r="B35" s="196" t="inlineStr">
        <is>
          <t>Testing</t>
        </is>
      </c>
      <c r="C35" s="1" t="n"/>
    </row>
    <row r="37" collapsed="1" s="337">
      <c r="B37" s="195" t="inlineStr">
        <is>
          <t>PLATFORMS_LIST</t>
        </is>
      </c>
      <c r="C37" s="2" t="n"/>
    </row>
    <row r="38" hidden="1" outlineLevel="1" s="337">
      <c r="B38" s="196" t="inlineStr">
        <is>
          <t>-</t>
        </is>
      </c>
      <c r="C38" s="1" t="n"/>
    </row>
    <row r="39" hidden="1" outlineLevel="1" s="337">
      <c r="B39" s="196" t="inlineStr">
        <is>
          <t>Web</t>
        </is>
      </c>
      <c r="C39" s="1" t="n"/>
    </row>
    <row r="40" hidden="1" outlineLevel="1" s="337">
      <c r="B40" s="196" t="inlineStr">
        <is>
          <t>Windows</t>
        </is>
      </c>
      <c r="C40" s="1" t="n"/>
    </row>
    <row r="41" hidden="1" outlineLevel="1" s="337">
      <c r="B41" s="196" t="inlineStr">
        <is>
          <t>Mobile</t>
        </is>
      </c>
      <c r="C41" s="1" t="n"/>
    </row>
    <row r="42" hidden="1" outlineLevel="1" s="337">
      <c r="B42" s="196" t="inlineStr">
        <is>
          <t>Enterprise</t>
        </is>
      </c>
      <c r="C42" s="1" t="n"/>
    </row>
    <row r="44" collapsed="1" s="337">
      <c r="B44" s="195" t="inlineStr">
        <is>
          <t>BUFFER_TYPES_LIST</t>
        </is>
      </c>
      <c r="C44" s="3" t="n"/>
    </row>
    <row r="45" hidden="1" outlineLevel="1" s="337">
      <c r="B45" s="196" t="inlineStr">
        <is>
          <t>-</t>
        </is>
      </c>
      <c r="C45" s="1" t="n"/>
    </row>
    <row r="46" hidden="1" outlineLevel="1" s="337">
      <c r="B46" s="196" t="inlineStr">
        <is>
          <t>Low</t>
        </is>
      </c>
      <c r="C46" s="1" t="n"/>
    </row>
    <row r="47" hidden="1" outlineLevel="1" s="337">
      <c r="B47" s="196" t="inlineStr">
        <is>
          <t>Medium</t>
        </is>
      </c>
      <c r="C47" s="1" t="n"/>
    </row>
    <row r="48" hidden="1" outlineLevel="1" s="337">
      <c r="B48" s="196" t="inlineStr">
        <is>
          <t>High</t>
        </is>
      </c>
      <c r="C48" s="1" t="n"/>
    </row>
    <row r="50" collapsed="1" s="337">
      <c r="B50" s="195" t="inlineStr">
        <is>
          <t>SALES_CALL_SCALE_LIST</t>
        </is>
      </c>
      <c r="C50" s="2" t="n"/>
    </row>
    <row r="51" hidden="1" outlineLevel="1" s="337">
      <c r="B51" s="196" t="inlineStr">
        <is>
          <t>Minimize</t>
        </is>
      </c>
      <c r="C51" s="197">
        <f>IF(MIN_EFFORT_PERCENT &lt; 0, MIN_EFFORT_PERCENT, MIN_EFFORT_PERCENT*-1)</f>
        <v/>
      </c>
    </row>
    <row r="52" hidden="1" outlineLevel="1" s="337">
      <c r="B52" s="196" t="inlineStr">
        <is>
          <t>Reduce by:</t>
        </is>
      </c>
      <c r="C52" s="197">
        <f>CUSTOM_PERCENT*-1</f>
        <v/>
      </c>
    </row>
    <row r="53" hidden="1" outlineLevel="1" s="337">
      <c r="B53" s="196" t="inlineStr">
        <is>
          <t>No Change</t>
        </is>
      </c>
      <c r="C53" s="197" t="n">
        <v>0</v>
      </c>
    </row>
    <row r="54" hidden="1" outlineLevel="1" s="337">
      <c r="B54" s="196" t="inlineStr">
        <is>
          <t>Increase by:</t>
        </is>
      </c>
      <c r="C54" s="197">
        <f>CUSTOM_PERCENT</f>
        <v/>
      </c>
    </row>
    <row r="55" hidden="1" outlineLevel="1" s="337">
      <c r="B55" s="196" t="inlineStr">
        <is>
          <t>Maximize</t>
        </is>
      </c>
      <c r="C55" s="197">
        <f>MAX_EFFORT_PERCENT</f>
        <v/>
      </c>
    </row>
    <row r="57" collapsed="1" s="337">
      <c r="B57" s="195" t="inlineStr">
        <is>
          <t>INCLUDE_OPTIONALS_LIST</t>
        </is>
      </c>
      <c r="C57" s="2" t="n"/>
    </row>
    <row r="58" hidden="1" outlineLevel="1" s="337">
      <c r="B58" s="196" t="inlineStr">
        <is>
          <t>Include</t>
        </is>
      </c>
      <c r="C58" s="1" t="n"/>
    </row>
    <row r="59" hidden="1" outlineLevel="1" s="337">
      <c r="B59" s="196" t="inlineStr">
        <is>
          <t>Exclude</t>
        </is>
      </c>
      <c r="C59" s="1" t="n"/>
    </row>
  </sheetData>
  <pageMargins left="0.7" right="0.7" top="0.75" bottom="0.75" header="0.3" footer="0.3"/>
  <pageSetup orientation="portrait" horizontalDpi="4294967295" verticalDpi="4294967295"/>
</worksheet>
</file>

<file path=xl/worksheets/sheet2.xml><?xml version="1.0" encoding="utf-8"?>
<worksheet xmlns="http://schemas.openxmlformats.org/spreadsheetml/2006/main">
  <sheetPr codeName="Sheet3">
    <outlinePr summaryBelow="0" summaryRight="0"/>
    <pageSetUpPr/>
  </sheetPr>
  <dimension ref="A1:AD382"/>
  <sheetViews>
    <sheetView showGridLines="0" tabSelected="1" zoomScale="85" zoomScaleNormal="85" workbookViewId="0">
      <pane xSplit="11" ySplit="11" topLeftCell="L52" activePane="bottomRight" state="frozenSplit"/>
      <selection pane="topRight" activeCell="M1" sqref="M1"/>
      <selection pane="bottomLeft" activeCell="A17" sqref="A17"/>
      <selection pane="bottomRight" activeCell="N60" sqref="N60"/>
    </sheetView>
  </sheetViews>
  <sheetFormatPr baseColWidth="10" defaultColWidth="9.1640625" defaultRowHeight="15" outlineLevelRow="2"/>
  <cols>
    <col width="1" customWidth="1" style="70" min="1" max="1"/>
    <col width="1" customWidth="1" style="294" min="2" max="2"/>
    <col width="1" customWidth="1" style="58" min="3" max="5"/>
    <col collapsed="1" width="3" customWidth="1" style="58" min="6" max="6"/>
    <col hidden="1" outlineLevel="1" width="8.5" customWidth="1" style="296" min="7" max="8"/>
    <col hidden="1" outlineLevel="1" width="7.1640625" customWidth="1" style="296" min="9" max="9"/>
    <col hidden="1" outlineLevel="1" width="7.6640625" customWidth="1" style="296" min="10" max="10"/>
    <col hidden="1" outlineLevel="1" width="37.5" customWidth="1" style="296" min="11" max="11"/>
    <col width="3.83203125" customWidth="1" style="296" min="12" max="12"/>
    <col width="5.6640625" customWidth="1" style="191" min="13" max="13"/>
    <col width="42.6640625" customWidth="1" style="20" min="14" max="14"/>
    <col width="13.1640625" customWidth="1" style="20" min="15" max="15"/>
    <col width="17.1640625" customWidth="1" style="296" min="16" max="16"/>
    <col width="7" customWidth="1" style="296" min="17" max="17"/>
    <col width="6.5" customWidth="1" style="296" min="18" max="18"/>
    <col width="12" customWidth="1" style="296" min="19" max="19"/>
    <col width="10.6640625" customWidth="1" style="296" min="20" max="20"/>
    <col outlineLevel="1" width="6.83203125" customWidth="1" style="296" min="21" max="21"/>
    <col outlineLevel="1" width="6.1640625" customWidth="1" style="296" min="22" max="22"/>
    <col outlineLevel="1" width="6" customWidth="1" style="296" min="23" max="23"/>
    <col outlineLevel="1" width="11.6640625" customWidth="1" style="296" min="24" max="24"/>
    <col outlineLevel="1" width="11" customWidth="1" style="296" min="25" max="25"/>
    <col outlineLevel="1" width="6.5" customWidth="1" style="296" min="26" max="26"/>
    <col outlineLevel="1" width="11" customWidth="1" style="296" min="27" max="27"/>
    <col width="35.6640625" customWidth="1" style="20" min="28" max="28"/>
    <col width="1.5" customWidth="1" style="7" min="29" max="29"/>
    <col width="19" customWidth="1" style="7" min="30" max="30"/>
    <col width="9.1640625" customWidth="1" style="296" min="31" max="31"/>
    <col width="9.1640625" customWidth="1" style="296" min="32" max="16384"/>
  </cols>
  <sheetData>
    <row r="1" ht="4.5" customFormat="1" customHeight="1" s="294">
      <c r="A1" s="70" t="n"/>
      <c r="C1" s="56" t="n"/>
      <c r="D1" s="56" t="n"/>
      <c r="E1" s="56" t="n"/>
      <c r="F1" s="56" t="n"/>
      <c r="M1" s="180" t="n"/>
      <c r="N1" s="7" t="n"/>
      <c r="O1" s="7" t="n"/>
      <c r="AB1" s="7" t="n"/>
      <c r="AC1" s="7" t="n"/>
      <c r="AD1" s="7" t="n"/>
    </row>
    <row r="2" ht="4.5" customFormat="1" customHeight="1" s="294">
      <c r="A2" s="70" t="n"/>
      <c r="C2" s="329" t="inlineStr">
        <is>
          <t>Choices &amp; Notes</t>
        </is>
      </c>
      <c r="D2" s="302" t="n"/>
      <c r="E2" s="302" t="n"/>
      <c r="F2" s="302" t="n"/>
      <c r="G2" s="103" t="n"/>
      <c r="H2" s="103" t="n"/>
      <c r="I2" s="103" t="n"/>
      <c r="J2" s="103" t="n"/>
      <c r="K2" s="103" t="n"/>
      <c r="L2" s="103" t="n"/>
      <c r="M2" s="181" t="n"/>
      <c r="N2" s="104" t="n"/>
      <c r="O2" s="103" t="n"/>
      <c r="P2" s="103" t="n"/>
      <c r="Q2" s="103" t="n"/>
      <c r="R2" s="103" t="n"/>
      <c r="S2" s="103" t="n"/>
      <c r="T2" s="103" t="n"/>
      <c r="U2" s="103" t="n"/>
      <c r="V2" s="103" t="n"/>
      <c r="W2" s="103" t="n"/>
      <c r="X2" s="103" t="n"/>
      <c r="Y2" s="103" t="n"/>
      <c r="Z2" s="103" t="n"/>
      <c r="AA2" s="103" t="n"/>
      <c r="AB2" s="103" t="n"/>
      <c r="AC2" s="103" t="n"/>
      <c r="AD2" s="7" t="n"/>
    </row>
    <row r="3" ht="23.25" customFormat="1" customHeight="1" s="294">
      <c r="A3" s="70" t="n"/>
      <c r="C3" s="302" t="n"/>
      <c r="D3" s="302" t="n"/>
      <c r="E3" s="302" t="n"/>
      <c r="F3" s="302" t="n"/>
      <c r="G3" s="334" t="inlineStr">
        <is>
          <t>AG Estimation Template -  Version</t>
        </is>
      </c>
      <c r="H3" s="302" t="n"/>
      <c r="I3" s="302" t="n"/>
      <c r="J3" s="302" t="n"/>
      <c r="K3" s="198" t="inlineStr">
        <is>
          <t>2.0.4</t>
        </is>
      </c>
      <c r="L3" s="71" t="n"/>
      <c r="M3" s="199">
        <f>IF(IS_KEY_OPP="Yes", 2, IF(IS_KEY_OPP="No", 0, 1))</f>
        <v/>
      </c>
      <c r="N3" s="200">
        <f>CLIENT_NAME&amp;" - "&amp;PROJECT_NAME&amp;" ("&amp;PLATFORM&amp;" "&amp;PROJECT_TYPE&amp;" Project)"&amp;IF(RFP_NAME&lt;&gt;"", " - "&amp;RFP_NAME, "")</f>
        <v/>
      </c>
      <c r="O3" s="105" t="n"/>
      <c r="P3" s="105" t="n"/>
      <c r="Q3" s="105" t="n"/>
      <c r="R3" s="105" t="n"/>
      <c r="S3" s="132" t="n"/>
      <c r="T3" s="201">
        <f>IF(COUNTIF(AD9:AD203, "Error:*") = 0, "", COUNTIF(AD9:AD203, "Error:*") &amp; " errors")</f>
        <v/>
      </c>
      <c r="U3" s="105" t="n"/>
      <c r="V3" s="105" t="n"/>
      <c r="W3" s="105" t="n"/>
      <c r="X3" s="202" t="inlineStr">
        <is>
          <t>Sales</t>
        </is>
      </c>
      <c r="Y3" s="137" t="inlineStr">
        <is>
          <t>A/c Manager Name</t>
        </is>
      </c>
      <c r="Z3" s="139" t="n"/>
      <c r="AA3" s="138" t="n"/>
      <c r="AB3" s="171" t="n"/>
      <c r="AC3" s="71" t="n"/>
      <c r="AD3" s="7" t="n"/>
    </row>
    <row r="4" ht="4.5" customFormat="1" customHeight="1" s="294">
      <c r="A4" s="70" t="n"/>
      <c r="C4" s="302" t="n"/>
      <c r="D4" s="302" t="n"/>
      <c r="E4" s="302" t="n"/>
      <c r="F4" s="302" t="n"/>
      <c r="G4" s="71" t="n"/>
      <c r="H4" s="71" t="n"/>
      <c r="I4" s="71" t="n"/>
      <c r="J4" s="71" t="n"/>
      <c r="K4" s="71" t="n"/>
      <c r="L4" s="71" t="n"/>
      <c r="M4" s="182" t="n"/>
      <c r="N4" s="72" t="n"/>
      <c r="O4" s="71" t="n"/>
      <c r="P4" s="71" t="n"/>
      <c r="Q4" s="133" t="n"/>
      <c r="R4" s="71" t="n"/>
      <c r="S4" s="134" t="n"/>
      <c r="T4" s="170" t="n"/>
      <c r="U4" s="105" t="n"/>
      <c r="V4" s="105" t="n"/>
      <c r="W4" s="105" t="n"/>
      <c r="X4" s="136" t="n"/>
      <c r="Y4" s="137" t="n"/>
      <c r="Z4" s="139" t="n"/>
      <c r="AA4" s="139" t="n"/>
      <c r="AB4" s="71" t="n"/>
      <c r="AC4" s="71" t="n"/>
      <c r="AD4" s="7" t="n"/>
    </row>
    <row r="5" ht="20.25" customFormat="1" customHeight="1" s="294">
      <c r="A5" s="70" t="n"/>
      <c r="C5" s="302" t="n"/>
      <c r="D5" s="302" t="n"/>
      <c r="E5" s="302" t="n"/>
      <c r="F5" s="302" t="n"/>
      <c r="G5" s="71" t="n"/>
      <c r="H5" s="143" t="n"/>
      <c r="I5" s="203" t="inlineStr">
        <is>
          <t>Last updated:</t>
        </is>
      </c>
      <c r="J5" s="331" t="n">
        <v>46168.88846094907</v>
      </c>
      <c r="K5" s="302" t="n"/>
      <c r="L5" s="71" t="n"/>
      <c r="M5" s="182" t="n"/>
      <c r="N5" s="345">
        <f>IF(TOTAL_EFFORT&lt;=0, "", CHOSEN_CURRENCY&amp;" "&amp;TEXT(CEILING(($W$233/1000),1),"##,##,###")&amp;" K  ●  "&amp;TEXT(TOTAL_EFFORT,"##,##,###")&amp;" PDs ("&amp;TEXT(TOTAL_WEEKS,"##,###"&amp;" Wk)"))</f>
        <v/>
      </c>
      <c r="O5" s="160" t="n"/>
      <c r="P5" s="159" t="n"/>
      <c r="Q5" s="163" t="n"/>
      <c r="R5" s="205" t="inlineStr">
        <is>
          <t>Effort:</t>
        </is>
      </c>
      <c r="S5" s="130" t="inlineStr">
        <is>
          <t>No Change</t>
        </is>
      </c>
      <c r="T5" s="131" t="n">
        <v>0.25</v>
      </c>
      <c r="U5" s="105" t="n"/>
      <c r="V5" s="105" t="n"/>
      <c r="W5" s="105" t="n"/>
      <c r="X5" s="202" t="inlineStr">
        <is>
          <t>Presales</t>
        </is>
      </c>
      <c r="Y5" s="137" t="inlineStr">
        <is>
          <t>Presales Member Name</t>
        </is>
      </c>
      <c r="Z5" s="138" t="n"/>
      <c r="AA5" s="138" t="n"/>
      <c r="AB5" s="335" t="inlineStr">
        <is>
          <t>Effort estimates are based on high level of analysis and may change on detailed analysis.</t>
        </is>
      </c>
      <c r="AC5" s="73" t="n"/>
      <c r="AD5" s="7" t="n"/>
    </row>
    <row r="6" ht="20.25" customFormat="1" customHeight="1" s="294">
      <c r="A6" s="70" t="n"/>
      <c r="C6" s="302" t="n"/>
      <c r="D6" s="302" t="n"/>
      <c r="E6" s="302" t="n"/>
      <c r="F6" s="302" t="n"/>
      <c r="G6" s="71" t="n"/>
      <c r="H6" s="143" t="n"/>
      <c r="I6" s="203" t="inlineStr">
        <is>
          <t>Last updated by:</t>
        </is>
      </c>
      <c r="J6" s="206" t="inlineStr">
        <is>
          <t>Pawan Gupta</t>
        </is>
      </c>
      <c r="K6" s="71" t="n"/>
      <c r="L6" s="71" t="n"/>
      <c r="M6" s="183" t="n"/>
      <c r="N6" s="346">
        <f>IF(TOTAL_EFFORT&lt;=0, "", "Auto: "&amp;DURATION&amp;" Wk  ("&amp;CEILING(DURATION/4,0.5)&amp;" M)"&amp;", Manual: "&amp;MANUAL_DURATION&amp;" Wk ("&amp;CEILING(MANUAL_DURATION/4,0.5)&amp;" M)")</f>
        <v/>
      </c>
      <c r="O6" s="161" t="n"/>
      <c r="P6" s="159" t="n"/>
      <c r="Q6" s="158" t="n"/>
      <c r="R6" s="208" t="inlineStr">
        <is>
          <t>Optionals:</t>
        </is>
      </c>
      <c r="S6" s="121" t="inlineStr">
        <is>
          <t>Include</t>
        </is>
      </c>
      <c r="T6" s="122" t="n"/>
      <c r="U6" s="105" t="n"/>
      <c r="V6" s="105" t="n"/>
      <c r="W6" s="105" t="n"/>
      <c r="X6" s="202" t="inlineStr">
        <is>
          <t>AG</t>
        </is>
      </c>
      <c r="Y6" s="137" t="inlineStr">
        <is>
          <t>TA Name</t>
        </is>
      </c>
      <c r="Z6" s="138" t="n"/>
      <c r="AA6" s="138" t="n"/>
      <c r="AB6" s="302" t="n"/>
      <c r="AC6" s="73" t="n"/>
      <c r="AD6" s="7" t="n"/>
    </row>
    <row r="7" ht="4.5" customFormat="1" customHeight="1" s="294">
      <c r="A7" s="70" t="n"/>
      <c r="C7" s="302" t="n"/>
      <c r="D7" s="302" t="n"/>
      <c r="E7" s="302" t="n"/>
      <c r="F7" s="302" t="n"/>
      <c r="G7" s="71" t="n"/>
      <c r="H7" s="71" t="n"/>
      <c r="I7" s="71" t="n"/>
      <c r="J7" s="71" t="n"/>
      <c r="K7" s="71" t="n"/>
      <c r="L7" s="71" t="n"/>
      <c r="M7" s="182" t="n"/>
      <c r="N7" s="72" t="n"/>
      <c r="O7" s="71" t="n"/>
      <c r="P7" s="71" t="n"/>
      <c r="Q7" s="71" t="n"/>
      <c r="R7" s="71" t="n"/>
      <c r="S7" s="71" t="n"/>
      <c r="T7" s="71" t="n"/>
      <c r="U7" s="71" t="n"/>
      <c r="V7" s="71" t="n"/>
      <c r="W7" s="71" t="n"/>
      <c r="X7" s="71" t="n"/>
      <c r="Y7" s="71" t="n"/>
      <c r="Z7" s="71" t="n"/>
      <c r="AA7" s="71" t="n"/>
      <c r="AB7" s="71" t="n"/>
      <c r="AC7" s="71" t="n"/>
      <c r="AD7" s="7" t="n"/>
    </row>
    <row r="8" ht="1.5" customFormat="1" customHeight="1" s="294">
      <c r="A8" s="70" t="n"/>
      <c r="C8" s="302" t="n"/>
      <c r="D8" s="302" t="n"/>
      <c r="E8" s="302" t="n"/>
      <c r="F8" s="302" t="n"/>
      <c r="G8" s="8" t="n"/>
      <c r="H8" s="8" t="n"/>
      <c r="I8" s="8" t="n"/>
      <c r="J8" s="8" t="n"/>
      <c r="K8" s="8" t="n"/>
      <c r="L8" s="8" t="n"/>
      <c r="M8" s="184" t="n"/>
      <c r="N8" s="8" t="n"/>
      <c r="O8" s="8" t="n"/>
      <c r="P8" s="8" t="n"/>
      <c r="Q8" s="8" t="n"/>
      <c r="R8" s="8" t="n"/>
      <c r="S8" s="8" t="n"/>
      <c r="T8" s="8" t="n"/>
      <c r="U8" s="8" t="n"/>
      <c r="V8" s="8" t="n"/>
      <c r="W8" s="8" t="n"/>
      <c r="X8" s="8" t="n"/>
      <c r="Y8" s="8" t="n"/>
      <c r="Z8" s="8" t="n"/>
      <c r="AA8" s="8" t="n"/>
      <c r="AB8" s="7" t="n"/>
      <c r="AC8" s="7" t="n"/>
      <c r="AD8" s="7" t="n"/>
    </row>
    <row r="9" ht="15" customFormat="1" customHeight="1" s="294">
      <c r="A9" s="70" t="n"/>
      <c r="C9" s="302" t="n"/>
      <c r="D9" s="302" t="n"/>
      <c r="E9" s="302" t="n"/>
      <c r="F9" s="302" t="n"/>
      <c r="G9" s="326" t="inlineStr">
        <is>
          <t>Choices</t>
        </is>
      </c>
      <c r="H9" s="347" t="n"/>
      <c r="I9" s="347" t="n"/>
      <c r="J9" s="347" t="n"/>
      <c r="K9" s="113" t="n"/>
      <c r="L9" s="108" t="n"/>
      <c r="M9" s="185" t="n"/>
      <c r="N9" s="35" t="n"/>
      <c r="O9" s="35" t="n"/>
      <c r="P9" s="35" t="n"/>
      <c r="Q9" s="157" t="n"/>
      <c r="R9" s="209" t="inlineStr">
        <is>
          <t>Copy Image:</t>
        </is>
      </c>
      <c r="S9" s="210" t="inlineStr">
        <is>
          <t>Compact</t>
        </is>
      </c>
      <c r="T9" s="210" t="inlineStr">
        <is>
          <t>Full</t>
        </is>
      </c>
      <c r="U9" s="157" t="n"/>
      <c r="V9" s="157" t="n"/>
      <c r="W9" s="157" t="n"/>
      <c r="X9" s="35" t="n"/>
      <c r="Y9" s="35" t="n"/>
      <c r="Z9" s="35" t="n"/>
      <c r="AA9" s="35" t="n"/>
      <c r="AB9" s="211" t="inlineStr">
        <is>
          <t>Read Help for more details.</t>
        </is>
      </c>
      <c r="AC9" s="35" t="n"/>
      <c r="AD9" s="7" t="n"/>
    </row>
    <row r="10" ht="13.5" customFormat="1" customHeight="1" s="294">
      <c r="A10" s="212" t="inlineStr">
        <is>
          <t>W0</t>
        </is>
      </c>
      <c r="C10" s="310" t="inlineStr">
        <is>
          <t>→</t>
        </is>
      </c>
      <c r="D10" s="302" t="n"/>
      <c r="E10" s="302" t="n"/>
      <c r="F10" s="302" t="n"/>
      <c r="G10" s="213" t="inlineStr">
        <is>
          <t>Mark as</t>
        </is>
      </c>
      <c r="H10" s="214" t="inlineStr">
        <is>
          <t>Add</t>
        </is>
      </c>
      <c r="I10" s="40" t="n"/>
      <c r="J10" s="124" t="n"/>
      <c r="K10" s="41" t="n"/>
      <c r="L10" s="96" t="n"/>
      <c r="M10" s="186" t="n"/>
      <c r="N10" s="32" t="n"/>
      <c r="O10" s="129" t="n"/>
      <c r="P10" s="304" t="inlineStr">
        <is>
          <t>Unit</t>
        </is>
      </c>
      <c r="Q10" s="347" t="n"/>
      <c r="R10" s="348" t="n"/>
      <c r="S10" s="33" t="n"/>
      <c r="T10" s="162" t="n"/>
      <c r="U10" s="304" t="inlineStr">
        <is>
          <t>Complexity %</t>
        </is>
      </c>
      <c r="V10" s="347" t="n"/>
      <c r="W10" s="348" t="n"/>
      <c r="X10" s="215" t="inlineStr">
        <is>
          <t>PDs / 1 M*</t>
        </is>
      </c>
      <c r="Y10" s="54" t="n"/>
      <c r="Z10" s="34" t="n"/>
      <c r="AA10" s="145" t="n"/>
      <c r="AB10" s="32" t="n"/>
      <c r="AC10" s="32" t="n"/>
      <c r="AD10" s="7" t="n"/>
    </row>
    <row r="11" ht="15" customFormat="1" customHeight="1" s="294">
      <c r="A11" s="212" t="inlineStr">
        <is>
          <t>W1</t>
        </is>
      </c>
      <c r="C11" s="310" t="inlineStr">
        <is>
          <t>←</t>
        </is>
      </c>
      <c r="D11" s="302" t="n"/>
      <c r="E11" s="302" t="n"/>
      <c r="F11" s="302" t="n"/>
      <c r="G11" s="216" t="inlineStr">
        <is>
          <t>Optional</t>
        </is>
      </c>
      <c r="H11" s="217" t="inlineStr">
        <is>
          <t>Buffer</t>
        </is>
      </c>
      <c r="I11" s="216" t="inlineStr">
        <is>
          <t>Extras</t>
        </is>
      </c>
      <c r="J11" s="217" t="inlineStr">
        <is>
          <t>Exclude</t>
        </is>
      </c>
      <c r="K11" s="218" t="inlineStr">
        <is>
          <t>Notes</t>
        </is>
      </c>
      <c r="L11" s="55" t="n"/>
      <c r="M11" s="219" t="inlineStr">
        <is>
          <t>Tasks</t>
        </is>
      </c>
      <c r="N11" s="55" t="n"/>
      <c r="O11" s="220" t="inlineStr">
        <is>
          <t>RFP Mapping</t>
        </is>
      </c>
      <c r="P11" s="218" t="inlineStr">
        <is>
          <t>Name</t>
        </is>
      </c>
      <c r="Q11" s="221" t="inlineStr">
        <is>
          <t>#</t>
        </is>
      </c>
      <c r="R11" s="217" t="inlineStr">
        <is>
          <t>x N</t>
        </is>
      </c>
      <c r="S11" s="332" t="inlineStr">
        <is>
          <t>Effort (PDs)</t>
        </is>
      </c>
      <c r="T11" s="349" t="n"/>
      <c r="U11" s="216" t="inlineStr">
        <is>
          <t>H</t>
        </is>
      </c>
      <c r="V11" s="216" t="inlineStr">
        <is>
          <t>M*</t>
        </is>
      </c>
      <c r="W11" s="216" t="inlineStr">
        <is>
          <t>L</t>
        </is>
      </c>
      <c r="X11" s="217" t="inlineStr">
        <is>
          <t>Unit</t>
        </is>
      </c>
      <c r="Y11" s="218" t="inlineStr">
        <is>
          <t>Calculated</t>
        </is>
      </c>
      <c r="Z11" s="217" t="inlineStr">
        <is>
          <t xml:space="preserve"> (+/-)</t>
        </is>
      </c>
      <c r="AA11" s="217" t="inlineStr">
        <is>
          <t>w Extras</t>
        </is>
      </c>
      <c r="AB11" s="128" t="inlineStr">
        <is>
          <t>Out of scope / Assumptions</t>
        </is>
      </c>
      <c r="AC11" s="5" t="n"/>
      <c r="AD11" s="7" t="n"/>
    </row>
    <row r="12" ht="18.5" customFormat="1" customHeight="1" s="298">
      <c r="A12" s="212" t="inlineStr">
        <is>
          <t>S1</t>
        </is>
      </c>
      <c r="B12" s="9" t="n"/>
      <c r="C12" s="312" t="inlineStr">
        <is>
          <t>↑</t>
        </is>
      </c>
      <c r="D12" s="302" t="n"/>
      <c r="E12" s="302" t="n"/>
      <c r="F12" s="312" t="inlineStr">
        <is>
          <t>↓</t>
        </is>
      </c>
      <c r="G12" s="44" t="n"/>
      <c r="H12" s="44" t="n"/>
      <c r="I12" s="44" t="n"/>
      <c r="J12" s="44" t="n"/>
      <c r="K12" s="44" t="n"/>
      <c r="L12" s="44" t="inlineStr">
        <is>
          <t>A</t>
        </is>
      </c>
      <c r="M12" s="187" t="inlineStr">
        <is>
          <t>Discovery / Requirement Analysis</t>
        </is>
      </c>
      <c r="N12" s="140" t="n"/>
      <c r="O12" s="46" t="n"/>
      <c r="P12" s="47" t="n"/>
      <c r="Q12" s="47" t="n"/>
      <c r="R12" s="47" t="n"/>
      <c r="S12" s="350">
        <f>CEILING(SUMIF(J13:J64, "&lt;&gt;Yes", T13:T64),1)</f>
        <v/>
      </c>
      <c r="T12" s="302" t="n"/>
      <c r="U12" s="47" t="n"/>
      <c r="V12" s="47" t="n"/>
      <c r="W12" s="47" t="n"/>
      <c r="X12" s="47" t="n"/>
      <c r="Y12" s="47" t="n"/>
      <c r="Z12" s="47" t="n"/>
      <c r="AA12" s="47" t="n"/>
      <c r="AB12" s="47" t="n"/>
      <c r="AC12" s="47" t="n"/>
      <c r="AD12" s="10" t="n"/>
    </row>
    <row r="13" outlineLevel="1" ht="3" customFormat="1" customHeight="1" s="294">
      <c r="A13" s="212" t="inlineStr">
        <is>
          <t>S2</t>
        </is>
      </c>
      <c r="B13" s="12" t="n"/>
      <c r="C13" s="135" t="n"/>
      <c r="D13" s="135" t="n"/>
      <c r="E13" s="135" t="n"/>
      <c r="F13" s="135" t="n"/>
      <c r="G13" s="21" t="n"/>
      <c r="H13" s="21" t="n"/>
      <c r="I13" s="21" t="n"/>
      <c r="J13" s="21" t="n"/>
      <c r="K13" s="21" t="n"/>
      <c r="L13" s="53" t="n">
        <v>0</v>
      </c>
      <c r="M13" s="188" t="n"/>
      <c r="N13" s="21" t="n"/>
      <c r="O13" s="21" t="n"/>
      <c r="P13" s="21" t="n"/>
      <c r="Q13" s="21" t="n"/>
      <c r="R13" s="21" t="n"/>
      <c r="S13" s="21" t="n"/>
      <c r="T13" s="22" t="n"/>
      <c r="U13" s="21" t="n"/>
      <c r="V13" s="21" t="n"/>
      <c r="W13" s="21" t="n"/>
      <c r="X13" s="22" t="n"/>
      <c r="Y13" s="21" t="n"/>
      <c r="Z13" s="21" t="n"/>
      <c r="AA13" s="21" t="n"/>
      <c r="AB13" s="23" t="n"/>
      <c r="AC13" s="23" t="n"/>
      <c r="AD13" s="7" t="n"/>
    </row>
    <row r="14" outlineLevel="1" collapsed="1" ht="15.5" customFormat="1" customHeight="1" s="298">
      <c r="A14" s="212" t="inlineStr">
        <is>
          <t>T1</t>
        </is>
      </c>
      <c r="B14" s="14" t="n"/>
      <c r="C14" s="61" t="n"/>
      <c r="D14" s="61" t="n"/>
      <c r="E14" s="61" t="n"/>
      <c r="F14" s="60" t="n"/>
      <c r="G14" s="24" t="n"/>
      <c r="H14" s="24" t="n"/>
      <c r="I14" s="24" t="n"/>
      <c r="J14" s="24" t="n"/>
      <c r="K14" s="24" t="n"/>
      <c r="L14" s="223">
        <f>LOOKUP(1000,INDIRECT("L1:"&amp;CELL("address",INDIRECT("R[-1]C",FALSE))))+1</f>
        <v/>
      </c>
      <c r="M14" s="301" t="inlineStr">
        <is>
          <t>Current system understanding</t>
        </is>
      </c>
      <c r="N14" s="302" t="n"/>
      <c r="O14" s="4" t="n"/>
      <c r="P14" s="25" t="n"/>
      <c r="Q14" s="25" t="n"/>
      <c r="R14" s="25" t="n"/>
      <c r="S14" s="25" t="n"/>
      <c r="T14" s="225">
        <f>IF($S$6="Exclude", SUMIFS(S15:S19, J15:J19, "&lt;&gt;Yes", G15:G19, "&lt;&gt;Yes"), SUMIFS(S15:S19, J15:J19, "&lt;&gt;Yes"))</f>
        <v/>
      </c>
      <c r="U14" s="25" t="n"/>
      <c r="V14" s="25" t="n"/>
      <c r="W14" s="25" t="n"/>
      <c r="X14" s="26" t="n"/>
      <c r="Y14" s="27" t="n"/>
      <c r="Z14" s="27" t="n"/>
      <c r="AA14" s="27" t="n"/>
      <c r="AB14" s="155" t="n"/>
      <c r="AC14" s="28" t="n"/>
      <c r="AD14" s="226">
        <f>IF(M14="", "Error: Task name cannot be empty.", "")</f>
        <v/>
      </c>
    </row>
    <row r="15" hidden="1" outlineLevel="2" ht="1.5" customFormat="1" customHeight="1" s="9">
      <c r="A15" s="212" t="inlineStr">
        <is>
          <t>T2</t>
        </is>
      </c>
      <c r="B15" s="14" t="n"/>
      <c r="C15" s="61" t="n"/>
      <c r="D15" s="61" t="n"/>
      <c r="E15" s="61" t="n"/>
      <c r="F15" s="60" t="n"/>
      <c r="G15" s="24" t="n"/>
      <c r="H15" s="24" t="n"/>
      <c r="I15" s="24" t="n"/>
      <c r="J15" s="24" t="n"/>
      <c r="K15" s="24" t="n"/>
      <c r="L15" s="227">
        <f>L14</f>
        <v/>
      </c>
      <c r="M15" s="228" t="inlineStr">
        <is>
          <t>X</t>
        </is>
      </c>
      <c r="N15" s="118" t="n"/>
      <c r="O15" s="119" t="n"/>
      <c r="P15" s="25" t="n"/>
      <c r="Q15" s="25" t="n"/>
      <c r="R15" s="25" t="n"/>
      <c r="S15" s="25" t="n"/>
      <c r="T15" s="114" t="n"/>
      <c r="U15" s="25" t="n"/>
      <c r="V15" s="25" t="n"/>
      <c r="W15" s="25" t="n"/>
      <c r="X15" s="26" t="n"/>
      <c r="Y15" s="27" t="n"/>
      <c r="Z15" s="27" t="n"/>
      <c r="AA15" s="27" t="n"/>
      <c r="AB15" s="28" t="n"/>
      <c r="AC15" s="28" t="n"/>
      <c r="AD15" s="19" t="n"/>
    </row>
    <row r="16" hidden="1" outlineLevel="2" ht="43.5" customHeight="1" s="337">
      <c r="A16" s="212" t="inlineStr">
        <is>
          <t>A</t>
        </is>
      </c>
      <c r="B16" s="14" t="n"/>
      <c r="C16" s="62" t="n"/>
      <c r="D16" s="62" t="n"/>
      <c r="E16" s="62" t="n"/>
      <c r="F16" s="63" t="n"/>
      <c r="G16" s="15" t="inlineStr">
        <is>
          <t>Yes</t>
        </is>
      </c>
      <c r="H16" s="15" t="inlineStr">
        <is>
          <t>-</t>
        </is>
      </c>
      <c r="I16" s="16" t="inlineStr">
        <is>
          <t>-</t>
        </is>
      </c>
      <c r="J16" s="15" t="inlineStr">
        <is>
          <t>-</t>
        </is>
      </c>
      <c r="K16" s="30" t="inlineStr">
        <is>
          <t>&gt;&gt; Valid for re-engineering task only
&gt;&gt; Technical understanding of current overall system and architecture.</t>
        </is>
      </c>
      <c r="L16" s="15" t="n"/>
      <c r="M16" s="229">
        <f>IFERROR(OFFSET(M16,-1,,1,1)+0.1,OFFSET(M16,-1,-1,1,1)&amp;".1")</f>
        <v/>
      </c>
      <c r="N16" s="16" t="inlineStr">
        <is>
          <t>Analysis of existing system architecture
&gt;&gt; Walk-through of the legacy YCompany storefront stack (UX, content model, server rendering)
&gt;&gt; Catalog and inventory data model review
&gt;&gt; Current SEO, performance and Core Web Vitals baseline
&gt;&gt; Payments and integrations inventory</t>
        </is>
      </c>
      <c r="O16" s="16" t="inlineStr">
        <is>
          <t>Iterations</t>
        </is>
      </c>
      <c r="P16" s="16" t="n"/>
      <c r="Q16" s="100" t="n">
        <v>1</v>
      </c>
      <c r="R16" s="95" t="n"/>
      <c r="S16" s="230">
        <f>CEILING((IF(J16="Yes", 0, IF(H16="-",AA16,AA16+AA16*VLOOKUP(H16,BUFFERS_BY_TYPE,2,FALSE)))) +
   (IF(J16="Yes", 0, IF(H16="-",AA16,AA16+AA16*VLOOKUP(H16,BUFFERS_BY_TYPE,2,FALSE))))*VLOOKUP($S$5, SALES_CALL_SCALE_ARRAY, 2,FALSE),0.25)</f>
        <v/>
      </c>
      <c r="T16" s="116" t="n"/>
      <c r="U16" s="17" t="n">
        <v>0</v>
      </c>
      <c r="V16" s="17" t="n">
        <v>1</v>
      </c>
      <c r="W16" s="17" t="n">
        <v>0</v>
      </c>
      <c r="X16" s="115" t="n">
        <v>20</v>
      </c>
      <c r="Y16" s="230">
        <f>CEILING((IF(P16=AS_DEV_EFFORT, DEV_EFFORT*Q16%,
                           IF(P16=AS_DURATION_EFFORT, (MANUAL_DURATION*5)*Q16%,
                                    (IF(Q16&lt;=1,X16,
                                          IF(SUM(U16:W16)=0,(Q16*X16),
                                               (((Q16*U16)*(X16+(X16*EXTRA_FOR_H)))+
                                               ((Q16*V16)*X16)+
                                               ((Q16*W16)*(X16-(X16*LESS_FOR_L)))
                                    )*IF(R16=0,1,R16))))))+Z16), 0.25)</f>
        <v/>
      </c>
      <c r="Z16" s="18" t="n"/>
      <c r="AA16" s="230">
        <f>Y16+Y16*VLOOKUP(I16,EXTRAS_ARRAY,2,FALSE)</f>
        <v/>
      </c>
      <c r="AB16" s="16" t="inlineStr">
        <is>
          <t>User-requested deep-dive: 20 PDs (~4 weeks) to analyse the legacy YCompany storefront — UX, content model, page templates, server rendering, current SEO, payments, and integration touchpoints.</t>
        </is>
      </c>
      <c r="AC16" s="29" t="n"/>
      <c r="AD16" s="226">
        <f>IF(J16&lt;&gt;"Yes",
IF(S16&lt;=0,"Error: Effort value is not defined or is invalid.",
IF(AND(SUM(U16:W16)&gt;0,SUM(U16:W16)&lt;&gt;1),"Error: Complexity % distribution should sum to 100%.",
IF(AND(P16=AS_DEV_EFFORT,X16&lt;&gt;0),"Error: PDs should not be defined when defining as dev effort %.",
IF(AND(P16=AS_DURATION_EFFORT,X16&lt;&gt;0),"Error: PDs should not be defined when defining as duration effort %.","")))))</f>
        <v/>
      </c>
    </row>
    <row r="17" hidden="1" outlineLevel="2" ht="43.5" customHeight="1" s="337">
      <c r="A17" s="212" t="inlineStr">
        <is>
          <t>A</t>
        </is>
      </c>
      <c r="B17" s="14" t="n"/>
      <c r="C17" s="62" t="n"/>
      <c r="D17" s="62" t="n"/>
      <c r="E17" s="62" t="n"/>
      <c r="F17" s="63" t="n"/>
      <c r="G17" s="15" t="inlineStr">
        <is>
          <t>-</t>
        </is>
      </c>
      <c r="H17" s="15" t="inlineStr">
        <is>
          <t>-</t>
        </is>
      </c>
      <c r="I17" s="16" t="inlineStr">
        <is>
          <t>-</t>
        </is>
      </c>
      <c r="J17" s="15" t="inlineStr">
        <is>
          <t>-</t>
        </is>
      </c>
      <c r="K17" s="30" t="n"/>
      <c r="L17" s="15" t="n"/>
      <c r="M17" s="229">
        <f>IFERROR(OFFSET(M17,-1,,1,1)+0.1,OFFSET(M17,-1,-1,1,1)&amp;".1")</f>
        <v/>
      </c>
      <c r="N17" s="16" t="inlineStr">
        <is>
          <t>Business process understanding and verification
&gt;&gt; Sessions with merchandising, marketing, customer care, ops and finance
&gt;&gt; Document AS-IS storefront flows (browse, PDP, cart, checkout, post-sale)
&gt;&gt; Confirm SLAs, escalation paths and operational hand-offs</t>
        </is>
      </c>
      <c r="O17" s="16" t="inlineStr">
        <is>
          <t>Sessions</t>
        </is>
      </c>
      <c r="P17" s="16" t="n"/>
      <c r="Q17" s="100" t="n">
        <v>1</v>
      </c>
      <c r="R17" s="95" t="n"/>
      <c r="S17" s="230">
        <f>CEILING((IF(J17="Yes", 0, IF(H17="-",AA17,AA17+AA17*VLOOKUP(H17,BUFFERS_BY_TYPE,2,FALSE)))) +
   (IF(J17="Yes", 0, IF(H17="-",AA17,AA17+AA17*VLOOKUP(H17,BUFFERS_BY_TYPE,2,FALSE))))*VLOOKUP($S$5, SALES_CALL_SCALE_ARRAY, 2,FALSE),0.25)</f>
        <v/>
      </c>
      <c r="T17" s="116" t="n"/>
      <c r="U17" s="17" t="n">
        <v>0</v>
      </c>
      <c r="V17" s="17" t="n">
        <v>1</v>
      </c>
      <c r="W17" s="17" t="n">
        <v>0</v>
      </c>
      <c r="X17" s="115" t="n">
        <v>4</v>
      </c>
      <c r="Y17" s="230">
        <f>CEILING((IF(P17=AS_DEV_EFFORT, DEV_EFFORT*Q17%,
                           IF(P17=AS_DURATION_EFFORT, (MANUAL_DURATION*5)*Q17%,
                                    (IF(Q17&lt;=1,X17,
                                          IF(SUM(U17:W17)=0,(Q17*X17),
                                               (((Q17*U17)*(X17+(X17*EXTRA_FOR_H)))+
                                               ((Q17*V17)*X17)+
                                               ((Q17*W17)*(X17-(X17*LESS_FOR_L)))
                                    )*IF(R17=0,1,R17))))))+Z17), 0.25)</f>
        <v/>
      </c>
      <c r="Z17" s="18" t="n"/>
      <c r="AA17" s="230">
        <f>Y17+Y17*VLOOKUP(I17,EXTRAS_ARRAY,2,FALSE)</f>
        <v/>
      </c>
      <c r="AB17" s="16" t="inlineStr">
        <is>
          <t>Business process walk-through with merchandising, marketing, customer care, ops and finance leads (~22 sessions, ~4 PDs total for write-ups).</t>
        </is>
      </c>
      <c r="AC17" s="29" t="n"/>
      <c r="AD17" s="226">
        <f>IF(J17&lt;&gt;"Yes",
IF(S17&lt;=0,"Error: Effort value is not defined or is invalid.",
IF(AND(SUM(U17:W17)&gt;0,SUM(U17:W17)&lt;&gt;1),"Error: Complexity % distribution should sum to 100%.",
IF(AND(P17=AS_DEV_EFFORT,X17&lt;&gt;0),"Error: PDs should not be defined when defining as dev effort %.",
IF(AND(P17=AS_DURATION_EFFORT,X17&lt;&gt;0),"Error: PDs should not be defined when defining as duration effort %.","")))))</f>
        <v/>
      </c>
    </row>
    <row r="18" hidden="1" outlineLevel="2" ht="130.5" customHeight="1" s="337">
      <c r="A18" s="212" t="inlineStr">
        <is>
          <t>A</t>
        </is>
      </c>
      <c r="B18" s="14" t="n"/>
      <c r="C18" s="62" t="n"/>
      <c r="D18" s="62" t="n"/>
      <c r="E18" s="62" t="n"/>
      <c r="F18" s="63" t="n"/>
      <c r="G18" s="15" t="inlineStr">
        <is>
          <t>-</t>
        </is>
      </c>
      <c r="H18" s="15" t="inlineStr">
        <is>
          <t>-</t>
        </is>
      </c>
      <c r="I18" s="16" t="inlineStr">
        <is>
          <t>-</t>
        </is>
      </c>
      <c r="J18" s="15" t="inlineStr">
        <is>
          <t>-</t>
        </is>
      </c>
      <c r="K18" s="30" t="n"/>
      <c r="L18" s="15" t="n"/>
      <c r="M18" s="229">
        <f>IFERROR(OFFSET(M18,-1,,1,1)+0.1,OFFSET(M18,-1,-1,1,1)&amp;".1")</f>
        <v/>
      </c>
      <c r="N18" s="16" t="inlineStr">
        <is>
          <t>Understand Stakeholder Requirements, Data Analysis
&gt;&gt; Stakeholders interviews (Business, Technology, Design)
&gt;&gt; Document interview findings and analytics deep-dive
&gt;&gt; Client presentation (Stakeholder Interviews, Analysis)
&gt;&gt; Map findings to use cases (Total_Use_Cases driver)</t>
        </is>
      </c>
      <c r="O18" s="16" t="inlineStr">
        <is>
          <t>Based on Total Use Cases
(Filled automatically)</t>
        </is>
      </c>
      <c r="P18" s="16" t="inlineStr">
        <is>
          <t>Based on Total Use Cases
(Filled automatically)</t>
        </is>
      </c>
      <c r="Q18" s="100">
        <f>Total_Use_Cases</f>
        <v/>
      </c>
      <c r="R18" s="95" t="n"/>
      <c r="S18" s="230">
        <f>CEILING((IF(J18="Yes", 0, IF(H18="-",AA18,AA18+AA18*VLOOKUP(H18,BUFFERS_BY_TYPE,2,FALSE)))) +
   (IF(J18="Yes", 0, IF(H18="-",AA18,AA18+AA18*VLOOKUP(H18,BUFFERS_BY_TYPE,2,FALSE))))*VLOOKUP($S$5, SALES_CALL_SCALE_ARRAY, 2,FALSE),0.25)</f>
        <v/>
      </c>
      <c r="T18" s="116" t="n"/>
      <c r="U18" s="17" t="n">
        <v>0</v>
      </c>
      <c r="V18" s="17" t="n">
        <v>1</v>
      </c>
      <c r="W18" s="17" t="n">
        <v>0</v>
      </c>
      <c r="X18" s="115" t="n">
        <v>0.1</v>
      </c>
      <c r="Y18" s="230">
        <f>CEILING((IF(P18=AS_DEV_EFFORT, DEV_EFFORT*Q18%,
                           IF(P18=AS_DURATION_EFFORT, (MANUAL_DURATION*5)*Q18%,
                                    (IF(Q18&lt;=1,X18,
                                          IF(SUM(U18:W18)=0,(Q18*X18),
                                               (((Q18*U18)*(X18+(X18*EXTRA_FOR_H)))+
                                               ((Q18*V18)*X18)+
                                               ((Q18*W18)*(X18-(X18*LESS_FOR_L)))
                                    )*IF(R18=0,1,R18))))))+Z18), 0.25)</f>
        <v/>
      </c>
      <c r="Z18" s="18" t="n"/>
      <c r="AA18" s="230">
        <f>Y18+Y18*VLOOKUP(I18,EXTRAS_ARRAY,2,FALSE)</f>
        <v/>
      </c>
      <c r="AB18" s="16" t="inlineStr">
        <is>
          <t>Stakeholder requirements analysis: ~0.1 PD per use case (75 × 0.1 = 7.5 PDs) covering browse, PDP, cart, checkout, account, orders, search (Elastic + fallback), transactional email and observability.</t>
        </is>
      </c>
      <c r="AC18" s="29" t="n"/>
      <c r="AD18" s="226">
        <f>IF(J18&lt;&gt;"Yes",
IF(S18&lt;=0,"Error: Effort value is not defined or is invalid.",
IF(AND(SUM(U18:W18)&gt;0,SUM(U18:W18)&lt;&gt;1),"Error: Complexity % distribution should sum to 100%.",
IF(AND(P18=AS_DEV_EFFORT,X18&lt;&gt;0),"Error: PDs should not be defined when defining as dev effort %.",
IF(AND(P18=AS_DURATION_EFFORT,X18&lt;&gt;0),"Error: PDs should not be defined when defining as duration effort %.","")))))</f>
        <v/>
      </c>
    </row>
    <row r="19" hidden="1" outlineLevel="2" ht="7.5" customFormat="1" customHeight="1" s="294">
      <c r="A19" s="212" t="inlineStr">
        <is>
          <t>T3</t>
        </is>
      </c>
      <c r="B19" s="12" t="n"/>
      <c r="C19" s="56" t="n"/>
      <c r="D19" s="56" t="n"/>
      <c r="E19" s="56" t="n"/>
      <c r="F19" s="56" t="n"/>
      <c r="M19" s="180" t="n"/>
      <c r="T19" s="12" t="n"/>
      <c r="X19" s="12" t="n"/>
      <c r="AB19" s="7" t="n"/>
      <c r="AC19" s="7" t="n"/>
      <c r="AD19" s="7" t="n"/>
    </row>
    <row r="20" outlineLevel="1" collapsed="1" ht="15.5" customFormat="1" customHeight="1" s="298">
      <c r="A20" s="212" t="inlineStr">
        <is>
          <t>T1</t>
        </is>
      </c>
      <c r="B20" s="14" t="n"/>
      <c r="C20" s="61" t="n"/>
      <c r="D20" s="61" t="n"/>
      <c r="E20" s="61" t="n"/>
      <c r="F20" s="60" t="n"/>
      <c r="G20" s="24" t="n"/>
      <c r="H20" s="24" t="n"/>
      <c r="I20" s="24" t="n"/>
      <c r="J20" s="24" t="n"/>
      <c r="K20" s="24" t="n"/>
      <c r="L20" s="223">
        <f>LOOKUP(1000,INDIRECT("L1:"&amp;CELL("address",INDIRECT("R[-1]C",FALSE))))+1</f>
        <v/>
      </c>
      <c r="M20" s="301" t="inlineStr">
        <is>
          <t>Requirement analysis</t>
        </is>
      </c>
      <c r="N20" s="302" t="n"/>
      <c r="O20" s="4" t="n"/>
      <c r="P20" s="25" t="n"/>
      <c r="Q20" s="25" t="n"/>
      <c r="R20" s="25" t="n"/>
      <c r="S20" s="25" t="n"/>
      <c r="T20" s="225">
        <f>IF($S$6="Exclude", SUMIFS(S21:S25, J21:J25, "&lt;&gt;Yes", G21:G25, "&lt;&gt;Yes"), SUMIFS(S21:S25, J21:J25, "&lt;&gt;Yes"))</f>
        <v/>
      </c>
      <c r="U20" s="25" t="n"/>
      <c r="V20" s="25" t="n"/>
      <c r="W20" s="25" t="n"/>
      <c r="X20" s="26" t="n"/>
      <c r="Y20" s="27" t="n"/>
      <c r="Z20" s="27" t="n"/>
      <c r="AA20" s="27" t="n"/>
      <c r="AB20" s="155" t="n"/>
      <c r="AC20" s="28" t="n"/>
      <c r="AD20" s="226">
        <f>IF(M20="", "Error: Task name cannot be empty.", "")</f>
        <v/>
      </c>
    </row>
    <row r="21" hidden="1" outlineLevel="2" ht="1.5" customFormat="1" customHeight="1" s="9">
      <c r="A21" s="212" t="inlineStr">
        <is>
          <t>T2</t>
        </is>
      </c>
      <c r="B21" s="14" t="n"/>
      <c r="C21" s="61" t="n"/>
      <c r="D21" s="61" t="n"/>
      <c r="E21" s="61" t="n"/>
      <c r="F21" s="60" t="n"/>
      <c r="G21" s="24" t="n"/>
      <c r="H21" s="24" t="n"/>
      <c r="I21" s="24" t="n"/>
      <c r="J21" s="24" t="n"/>
      <c r="K21" s="24" t="n"/>
      <c r="L21" s="227">
        <f>L20</f>
        <v/>
      </c>
      <c r="M21" s="228" t="inlineStr">
        <is>
          <t>X</t>
        </is>
      </c>
      <c r="N21" s="118" t="n"/>
      <c r="O21" s="119" t="n"/>
      <c r="P21" s="25" t="n"/>
      <c r="Q21" s="25" t="n"/>
      <c r="R21" s="25" t="n"/>
      <c r="S21" s="25" t="n"/>
      <c r="T21" s="114" t="n"/>
      <c r="U21" s="25" t="n"/>
      <c r="V21" s="25" t="n"/>
      <c r="W21" s="25" t="n"/>
      <c r="X21" s="26" t="n"/>
      <c r="Y21" s="27" t="n"/>
      <c r="Z21" s="27" t="n"/>
      <c r="AA21" s="27" t="n"/>
      <c r="AB21" s="28" t="n"/>
      <c r="AC21" s="28" t="n"/>
      <c r="AD21" s="19" t="n"/>
    </row>
    <row r="22" hidden="1" outlineLevel="2" ht="43.5" customHeight="1" s="337">
      <c r="A22" s="212" t="inlineStr">
        <is>
          <t>A</t>
        </is>
      </c>
      <c r="B22" s="14" t="n"/>
      <c r="C22" s="62" t="n"/>
      <c r="D22" s="62" t="n"/>
      <c r="E22" s="62" t="n"/>
      <c r="F22" s="63" t="n"/>
      <c r="G22" s="15" t="inlineStr">
        <is>
          <t>-</t>
        </is>
      </c>
      <c r="H22" s="15" t="inlineStr">
        <is>
          <t>-</t>
        </is>
      </c>
      <c r="I22" s="16" t="inlineStr">
        <is>
          <t>-</t>
        </is>
      </c>
      <c r="J22" s="15" t="inlineStr">
        <is>
          <t>-</t>
        </is>
      </c>
      <c r="K22" s="30" t="n"/>
      <c r="L22" s="15" t="n"/>
      <c r="M22" s="229">
        <f>IFERROR(OFFSET(M22,-1,,1,1)+0.1,OFFSET(M22,-1,-1,1,1)&amp;".1")</f>
        <v/>
      </c>
      <c r="N22" s="16" t="inlineStr">
        <is>
          <t>Project Plan and Kick off
&gt;&gt; Team introductions, RACI, governance and revised project schedule
&gt;&gt; Sprint cadence + ceremonies (planning, review, retro)
&gt;&gt; Communications plan, escalation matrix and DoR / DoD</t>
        </is>
      </c>
      <c r="O22" s="16" t="inlineStr">
        <is>
          <t>Workshops</t>
        </is>
      </c>
      <c r="P22" s="16" t="n"/>
      <c r="Q22" s="100" t="n">
        <v>1</v>
      </c>
      <c r="R22" s="95" t="n"/>
      <c r="S22" s="230">
        <f>CEILING((IF(J22="Yes", 0, IF(H22="-",AA22,AA22+AA22*VLOOKUP(H22,BUFFERS_BY_TYPE,2,FALSE)))) +
   (IF(J22="Yes", 0, IF(H22="-",AA22,AA22+AA22*VLOOKUP(H22,BUFFERS_BY_TYPE,2,FALSE))))*VLOOKUP($S$5, SALES_CALL_SCALE_ARRAY, 2,FALSE),0.25)</f>
        <v/>
      </c>
      <c r="T22" s="116" t="n"/>
      <c r="U22" s="17" t="n">
        <v>0</v>
      </c>
      <c r="V22" s="17" t="n">
        <v>1</v>
      </c>
      <c r="W22" s="17" t="n">
        <v>0</v>
      </c>
      <c r="X22" s="115" t="n">
        <v>2</v>
      </c>
      <c r="Y22" s="230">
        <f>CEILING((IF(P22=AS_DEV_EFFORT, DEV_EFFORT*Q22%,
                           IF(P22=AS_DURATION_EFFORT, (MANUAL_DURATION*5)*Q22%,
                                    (IF(Q22&lt;=1,X22,
                                          IF(SUM(U22:W22)=0,(Q22*X22),
                                               (((Q22*U22)*(X22+(X22*EXTRA_FOR_H)))+
                                               ((Q22*V22)*X22)+
                                               ((Q22*W22)*(X22-(X22*LESS_FOR_L)))
                                    )*IF(R22=0,1,R22))))))+Z22), 0.25)</f>
        <v/>
      </c>
      <c r="Z22" s="18" t="n"/>
      <c r="AA22" s="230">
        <f>Y22+Y22*VLOOKUP(I22,EXTRAS_ARRAY,2,FALSE)</f>
        <v/>
      </c>
      <c r="AB22" s="16" t="inlineStr">
        <is>
          <t>Project plan, kick-off, RACI, comms cadence (2 workshops).</t>
        </is>
      </c>
      <c r="AC22" s="29" t="n"/>
      <c r="AD22" s="226">
        <f>IF(J22&lt;&gt;"Yes",
IF(S22&lt;=0,"Error: Effort value is not defined or is invalid.",
IF(AND(SUM(U22:W22)&gt;0,SUM(U22:W22)&lt;&gt;1),"Error: Complexity % distribution should sum to 100%.",
IF(AND(P22=AS_DEV_EFFORT,X22&lt;&gt;0),"Error: PDs should not be defined when defining as dev effort %.",
IF(AND(P22=AS_DURATION_EFFORT,X22&lt;&gt;0),"Error: PDs should not be defined when defining as duration effort %.","")))))</f>
        <v/>
      </c>
    </row>
    <row r="23" hidden="1" outlineLevel="2" ht="43.5" customHeight="1" s="337">
      <c r="A23" s="212" t="inlineStr">
        <is>
          <t>A</t>
        </is>
      </c>
      <c r="B23" s="14" t="n"/>
      <c r="C23" s="62" t="n"/>
      <c r="D23" s="62" t="n"/>
      <c r="E23" s="62" t="n"/>
      <c r="F23" s="63" t="n"/>
      <c r="G23" s="15" t="inlineStr">
        <is>
          <t>-</t>
        </is>
      </c>
      <c r="H23" s="15" t="inlineStr">
        <is>
          <t>-</t>
        </is>
      </c>
      <c r="I23" s="16" t="inlineStr">
        <is>
          <t>-</t>
        </is>
      </c>
      <c r="J23" s="15" t="inlineStr">
        <is>
          <t>-</t>
        </is>
      </c>
      <c r="K23" s="30" t="n"/>
      <c r="L23" s="15" t="n"/>
      <c r="M23" s="229">
        <f>IFERROR(OFFSET(M23,-1,,1,1)+0.1,OFFSET(M23,-1,-1,1,1)&amp;".1")</f>
        <v/>
      </c>
      <c r="N23" s="16" t="inlineStr">
        <is>
          <t>Analysis for new business requirements
&gt;&gt; Functional Requirement (FR) workshops per module
&gt;&gt; Catalog, Search (Elastic Cloud + fallback), Cart, Auth, Checkout, Orders, Coupons, Account, Resend email, Observability, Security
&gt;&gt; Capture acceptance criteria + edge cases
&gt;&gt; Convert into prioritised product backlog (driven by Total_FRs)</t>
        </is>
      </c>
      <c r="O23" s="16" t="inlineStr">
        <is>
          <t>Total FR's</t>
        </is>
      </c>
      <c r="P23" s="16" t="n"/>
      <c r="Q23" s="100" t="n">
        <v>25</v>
      </c>
      <c r="R23" s="95" t="n"/>
      <c r="S23" s="230">
        <f>CEILING((IF(J23="Yes", 0, IF(H23="-",AA23,AA23+AA23*VLOOKUP(H23,BUFFERS_BY_TYPE,2,FALSE)))) +
   (IF(J23="Yes", 0, IF(H23="-",AA23,AA23+AA23*VLOOKUP(H23,BUFFERS_BY_TYPE,2,FALSE))))*VLOOKUP($S$5, SALES_CALL_SCALE_ARRAY, 2,FALSE),0.25)</f>
        <v/>
      </c>
      <c r="T23" s="116" t="n"/>
      <c r="U23" s="17" t="n">
        <v>0</v>
      </c>
      <c r="V23" s="17" t="n">
        <v>1</v>
      </c>
      <c r="W23" s="17" t="n">
        <v>0</v>
      </c>
      <c r="X23" s="115" t="n">
        <v>0.3</v>
      </c>
      <c r="Y23" s="230">
        <f>CEILING((IF(P23=AS_DEV_EFFORT, DEV_EFFORT*Q23%,
                           IF(P23=AS_DURATION_EFFORT, (MANUAL_DURATION*5)*Q23%,
                                    (IF(Q23&lt;=1,X23,
                                          IF(SUM(U23:W23)=0,(Q23*X23),
                                               (((Q23*U23)*(X23+(X23*EXTRA_FOR_H)))+
                                               ((Q23*V23)*X23)+
                                               ((Q23*W23)*(X23-(X23*LESS_FOR_L)))
                                    )*IF(R23=0,1,R23))))))+Z23), 0.25)</f>
        <v/>
      </c>
      <c r="Z23" s="18" t="n"/>
      <c r="AA23" s="230">
        <f>Y23+Y23*VLOOKUP(I23,EXTRAS_ARRAY,2,FALSE)</f>
        <v/>
      </c>
      <c r="AB23" s="16" t="inlineStr">
        <is>
          <t>Analysis effort = 0.3 PD per FR (25 FRs × 0.3 = 7.5 PDs). Covers catalogue, Elastic Cloud search, cart, auth, checkout, orders, coupons, account, Resend notifications and observability.</t>
        </is>
      </c>
      <c r="AC23" s="29" t="n"/>
      <c r="AD23" s="226">
        <f>IF(J23&lt;&gt;"Yes",
IF(S23&lt;=0,"Error: Effort value is not defined or is invalid.",
IF(AND(SUM(U23:W23)&gt;0,SUM(U23:W23)&lt;&gt;1),"Error: Complexity % distribution should sum to 100%.",
IF(AND(P23=AS_DEV_EFFORT,X23&lt;&gt;0),"Error: PDs should not be defined when defining as dev effort %.",
IF(AND(P23=AS_DURATION_EFFORT,X23&lt;&gt;0),"Error: PDs should not be defined when defining as duration effort %.","")))))</f>
        <v/>
      </c>
    </row>
    <row r="24" hidden="1" outlineLevel="2" ht="43.5" customHeight="1" s="337">
      <c r="A24" s="212" t="inlineStr">
        <is>
          <t>A</t>
        </is>
      </c>
      <c r="B24" s="14" t="n"/>
      <c r="C24" s="62" t="n"/>
      <c r="D24" s="62" t="n"/>
      <c r="E24" s="62" t="n"/>
      <c r="F24" s="63" t="n"/>
      <c r="G24" s="15" t="inlineStr">
        <is>
          <t>-</t>
        </is>
      </c>
      <c r="H24" s="15" t="inlineStr">
        <is>
          <t>-</t>
        </is>
      </c>
      <c r="I24" s="16" t="inlineStr">
        <is>
          <t>-</t>
        </is>
      </c>
      <c r="J24" s="15" t="inlineStr">
        <is>
          <t>-</t>
        </is>
      </c>
      <c r="K24" s="30" t="inlineStr">
        <is>
          <t>&gt;&gt; Valid for re-engineering task only</t>
        </is>
      </c>
      <c r="L24" s="15" t="n"/>
      <c r="M24" s="229">
        <f>IFERROR(OFFSET(M24,-1,,1,1)+0.1,OFFSET(M24,-1,-1,1,1)&amp;".1")</f>
        <v/>
      </c>
      <c r="N24" s="16" t="inlineStr">
        <is>
          <t>Business process re-engineering
&gt;&gt; Analysis to optimize checkout, coupon and post-purchase flows
&gt;&gt; Streamline order lifecycle, returns and cancellation
&gt;&gt; Identify automation candidates (webhook-driven order sync, GA4 events)</t>
        </is>
      </c>
      <c r="O24" s="16" t="inlineStr">
        <is>
          <t>Iterations</t>
        </is>
      </c>
      <c r="P24" s="16" t="n"/>
      <c r="Q24" s="100" t="n">
        <v>2</v>
      </c>
      <c r="R24" s="95" t="n"/>
      <c r="S24" s="230">
        <f>CEILING((IF(J24="Yes", 0, IF(H24="-",AA24,AA24+AA24*VLOOKUP(H24,BUFFERS_BY_TYPE,2,FALSE)))) +
   (IF(J24="Yes", 0, IF(H24="-",AA24,AA24+AA24*VLOOKUP(H24,BUFFERS_BY_TYPE,2,FALSE))))*VLOOKUP($S$5, SALES_CALL_SCALE_ARRAY, 2,FALSE),0.25)</f>
        <v/>
      </c>
      <c r="T24" s="116" t="n"/>
      <c r="U24" s="17" t="n">
        <v>0</v>
      </c>
      <c r="V24" s="17" t="n">
        <v>1</v>
      </c>
      <c r="W24" s="17" t="n">
        <v>0</v>
      </c>
      <c r="X24" s="115" t="n">
        <v>2</v>
      </c>
      <c r="Y24" s="230">
        <f>CEILING((IF(P24=AS_DEV_EFFORT, DEV_EFFORT*Q24%,
                           IF(P24=AS_DURATION_EFFORT, (MANUAL_DURATION*5)*Q24%,
                                    (IF(Q24&lt;=1,X24,
                                          IF(SUM(U24:W24)=0,(Q24*X24),
                                               (((Q24*U24)*(X24+(X24*EXTRA_FOR_H)))+
                                               ((Q24*V24)*X24)+
                                               ((Q24*W24)*(X24-(X24*LESS_FOR_L)))
                                    )*IF(R24=0,1,R24))))))+Z24), 0.25)</f>
        <v/>
      </c>
      <c r="Z24" s="18" t="n"/>
      <c r="AA24" s="230">
        <f>Y24+Y24*VLOOKUP(I24,EXTRAS_ARRAY,2,FALSE)</f>
        <v/>
      </c>
      <c r="AB24" s="16" t="inlineStr">
        <is>
          <t>Business process re-engineering on checkout, coupons, order lifecycle and transactional email triggers (~4 PDs).</t>
        </is>
      </c>
      <c r="AC24" s="29" t="n"/>
      <c r="AD24" s="226">
        <f>IF(J24&lt;&gt;"Yes",
IF(S24&lt;=0,"Error: Effort value is not defined or is invalid.",
IF(AND(SUM(U24:W24)&gt;0,SUM(U24:W24)&lt;&gt;1),"Error: Complexity % distribution should sum to 100%.",
IF(AND(P24=AS_DEV_EFFORT,X24&lt;&gt;0),"Error: PDs should not be defined when defining as dev effort %.",
IF(AND(P24=AS_DURATION_EFFORT,X24&lt;&gt;0),"Error: PDs should not be defined when defining as duration effort %.","")))))</f>
        <v/>
      </c>
    </row>
    <row r="25" hidden="1" outlineLevel="2" ht="7.5" customFormat="1" customHeight="1" s="294">
      <c r="A25" s="212" t="inlineStr">
        <is>
          <t>T3</t>
        </is>
      </c>
      <c r="B25" s="12" t="n"/>
      <c r="C25" s="56" t="n"/>
      <c r="D25" s="56" t="n"/>
      <c r="E25" s="56" t="n"/>
      <c r="F25" s="56" t="n"/>
      <c r="M25" s="180" t="n"/>
      <c r="T25" s="12" t="n"/>
      <c r="X25" s="12" t="n"/>
      <c r="AB25" s="7" t="n"/>
      <c r="AC25" s="7" t="n"/>
      <c r="AD25" s="7" t="n"/>
    </row>
    <row r="26" outlineLevel="1" collapsed="1" ht="15.5" customFormat="1" customHeight="1" s="298">
      <c r="A26" s="212" t="inlineStr">
        <is>
          <t>T1</t>
        </is>
      </c>
      <c r="B26" s="14" t="n"/>
      <c r="C26" s="61" t="n"/>
      <c r="D26" s="61" t="n"/>
      <c r="E26" s="61" t="n"/>
      <c r="F26" s="60" t="n"/>
      <c r="G26" s="24" t="n"/>
      <c r="H26" s="24" t="n"/>
      <c r="I26" s="24" t="n"/>
      <c r="J26" s="24" t="n"/>
      <c r="K26" s="24" t="n"/>
      <c r="L26" s="223">
        <f>LOOKUP(1000,INDIRECT("L1:"&amp;CELL("address",INDIRECT("R[-1]C",FALSE))))+1</f>
        <v/>
      </c>
      <c r="M26" s="301" t="inlineStr">
        <is>
          <t>Create User Profiles, User Journeys</t>
        </is>
      </c>
      <c r="N26" s="302" t="n"/>
      <c r="O26" s="4" t="n"/>
      <c r="P26" s="25" t="n"/>
      <c r="Q26" s="25" t="n"/>
      <c r="R26" s="25" t="n"/>
      <c r="S26" s="25" t="n"/>
      <c r="T26" s="225">
        <f>IF($S$6="Exclude", SUMIFS(S27:S32, J27:J32, "&lt;&gt;Yes", G27:G32, "&lt;&gt;Yes"), SUMIFS(S27:S32, J27:J32, "&lt;&gt;Yes"))</f>
        <v/>
      </c>
      <c r="U26" s="25" t="n"/>
      <c r="V26" s="25" t="n"/>
      <c r="W26" s="25" t="n"/>
      <c r="X26" s="26" t="n"/>
      <c r="Y26" s="27" t="n"/>
      <c r="Z26" s="27" t="n"/>
      <c r="AA26" s="27" t="n"/>
      <c r="AB26" s="155" t="n"/>
      <c r="AC26" s="28" t="n"/>
      <c r="AD26" s="226">
        <f>IF(M26="", "Error: Task name cannot be empty.", "")</f>
        <v/>
      </c>
    </row>
    <row r="27" hidden="1" outlineLevel="2" ht="1.5" customFormat="1" customHeight="1" s="9">
      <c r="A27" s="212" t="inlineStr">
        <is>
          <t>T2</t>
        </is>
      </c>
      <c r="B27" s="14" t="n"/>
      <c r="C27" s="61" t="n"/>
      <c r="D27" s="61" t="n"/>
      <c r="E27" s="61" t="n"/>
      <c r="F27" s="60" t="n"/>
      <c r="G27" s="24" t="n"/>
      <c r="H27" s="24" t="n"/>
      <c r="I27" s="24" t="n"/>
      <c r="J27" s="24" t="n"/>
      <c r="K27" s="24" t="n"/>
      <c r="L27" s="227">
        <f>L26</f>
        <v/>
      </c>
      <c r="M27" s="228" t="inlineStr">
        <is>
          <t>X</t>
        </is>
      </c>
      <c r="N27" s="118" t="n"/>
      <c r="O27" s="119" t="n"/>
      <c r="P27" s="25" t="n"/>
      <c r="Q27" s="25" t="n"/>
      <c r="R27" s="25" t="n"/>
      <c r="S27" s="25" t="n"/>
      <c r="T27" s="114" t="n"/>
      <c r="U27" s="25" t="n"/>
      <c r="V27" s="25" t="n"/>
      <c r="W27" s="25" t="n"/>
      <c r="X27" s="26" t="n"/>
      <c r="Y27" s="27" t="n"/>
      <c r="Z27" s="27" t="n"/>
      <c r="AA27" s="27" t="n"/>
      <c r="AB27" s="28" t="n"/>
      <c r="AC27" s="28" t="n"/>
      <c r="AD27" s="19" t="n"/>
    </row>
    <row r="28" hidden="1" outlineLevel="2" ht="43.5" customHeight="1" s="337">
      <c r="A28" s="212" t="inlineStr">
        <is>
          <t>A</t>
        </is>
      </c>
      <c r="B28" s="14" t="n"/>
      <c r="C28" s="62" t="n"/>
      <c r="D28" s="62" t="n"/>
      <c r="E28" s="62" t="n"/>
      <c r="F28" s="63" t="n"/>
      <c r="G28" s="15" t="inlineStr">
        <is>
          <t>-</t>
        </is>
      </c>
      <c r="H28" s="15" t="inlineStr">
        <is>
          <t>-</t>
        </is>
      </c>
      <c r="I28" s="16" t="inlineStr">
        <is>
          <t>-</t>
        </is>
      </c>
      <c r="J28" s="15" t="inlineStr">
        <is>
          <t>-</t>
        </is>
      </c>
      <c r="K28" s="30" t="n"/>
      <c r="L28" s="15" t="n"/>
      <c r="M28" s="229">
        <f>IFERROR(OFFSET(M28,-1,,1,1)+0.1,OFFSET(M28,-1,-1,1,1)&amp;".1")</f>
        <v/>
      </c>
      <c r="N28" s="16" t="inlineStr">
        <is>
          <t>Prepare Guide and Interview Users
&gt;&gt; Build interview discussion guide and recruitment screener
&gt;&gt; Conduct 10–12 interviews across personas (shopper, gifter, guest, admin)
&gt;&gt; Capture pain points, motivations and shopping rituals</t>
        </is>
      </c>
      <c r="O28" s="16" t="inlineStr">
        <is>
          <t>Users</t>
        </is>
      </c>
      <c r="P28" s="16" t="n"/>
      <c r="Q28" s="100" t="n">
        <v>12</v>
      </c>
      <c r="R28" s="95" t="n"/>
      <c r="S28" s="230">
        <f>CEILING((IF(J28="Yes", 0, IF(H28="-",AA28,AA28+AA28*VLOOKUP(H28,BUFFERS_BY_TYPE,2,FALSE)))) +
   (IF(J28="Yes", 0, IF(H28="-",AA28,AA28+AA28*VLOOKUP(H28,BUFFERS_BY_TYPE,2,FALSE))))*VLOOKUP($S$5, SALES_CALL_SCALE_ARRAY, 2,FALSE),0.25)</f>
        <v/>
      </c>
      <c r="T28" s="116" t="n"/>
      <c r="U28" s="17" t="n">
        <v>0</v>
      </c>
      <c r="V28" s="17" t="n">
        <v>1</v>
      </c>
      <c r="W28" s="17" t="n">
        <v>0</v>
      </c>
      <c r="X28" s="115" t="n">
        <v>0.25</v>
      </c>
      <c r="Y28" s="230">
        <f>CEILING((IF(P28=AS_DEV_EFFORT, DEV_EFFORT*Q28%,
                           IF(P28=AS_DURATION_EFFORT, (MANUAL_DURATION*5)*Q28%,
                                    (IF(Q28&lt;=1,X28,
                                          IF(SUM(U28:W28)=0,(Q28*X28),
                                               (((Q28*U28)*(X28+(X28*EXTRA_FOR_H)))+
                                               ((Q28*V28)*X28)+
                                               ((Q28*W28)*(X28-(X28*LESS_FOR_L)))
                                    )*IF(R28=0,1,R28))))))+Z28), 0.25)</f>
        <v/>
      </c>
      <c r="Z28" s="18" t="n"/>
      <c r="AA28" s="230">
        <f>Y28+Y28*VLOOKUP(I28,EXTRAS_ARRAY,2,FALSE)</f>
        <v/>
      </c>
      <c r="AB28" s="16" t="inlineStr">
        <is>
          <t>Interview prep + execution: 0.25 PD per user × 12 users = 3 PDs.</t>
        </is>
      </c>
      <c r="AC28" s="29" t="n"/>
      <c r="AD28" s="226">
        <f>IF(J28&lt;&gt;"Yes",
IF(S28&lt;=0,"Error: Effort value is not defined or is invalid.",
IF(AND(SUM(U28:W28)&gt;0,SUM(U28:W28)&lt;&gt;1),"Error: Complexity % distribution should sum to 100%.",
IF(AND(P28=AS_DEV_EFFORT,X28&lt;&gt;0),"Error: PDs should not be defined when defining as dev effort %.",
IF(AND(P28=AS_DURATION_EFFORT,X28&lt;&gt;0),"Error: PDs should not be defined when defining as duration effort %.","")))))</f>
        <v/>
      </c>
    </row>
    <row r="29" hidden="1" outlineLevel="2" ht="43.5" customHeight="1" s="337">
      <c r="A29" s="212" t="inlineStr">
        <is>
          <t>A</t>
        </is>
      </c>
      <c r="B29" s="14" t="n"/>
      <c r="C29" s="62" t="n"/>
      <c r="D29" s="62" t="n"/>
      <c r="E29" s="62" t="n"/>
      <c r="F29" s="63" t="n"/>
      <c r="G29" s="15" t="inlineStr">
        <is>
          <t>-</t>
        </is>
      </c>
      <c r="H29" s="15" t="inlineStr">
        <is>
          <t>-</t>
        </is>
      </c>
      <c r="I29" s="16" t="inlineStr">
        <is>
          <t>-</t>
        </is>
      </c>
      <c r="J29" s="15" t="inlineStr">
        <is>
          <t>-</t>
        </is>
      </c>
      <c r="K29" s="30" t="n"/>
      <c r="L29" s="15" t="n"/>
      <c r="M29" s="229">
        <f>IFERROR(OFFSET(M29,-1,,1,1)+0.1,OFFSET(M29,-1,-1,1,1)&amp;".1")</f>
        <v/>
      </c>
      <c r="N29" s="16" t="inlineStr">
        <is>
          <t>Create User Profiles &amp; Personas
&gt;&gt; Synthesize interview transcripts into 4 personas
&gt;&gt; Document goals, frustrations, devices, decision drivers
&gt;&gt; Validate personas with merchandising and customer-care leads</t>
        </is>
      </c>
      <c r="O29" s="16" t="inlineStr">
        <is>
          <t>Personas</t>
        </is>
      </c>
      <c r="P29" s="16" t="n"/>
      <c r="Q29" s="100" t="n">
        <v>4</v>
      </c>
      <c r="R29" s="95" t="n"/>
      <c r="S29" s="230">
        <f>CEILING((IF(J29="Yes", 0, IF(H29="-",AA29,AA29+AA29*VLOOKUP(H29,BUFFERS_BY_TYPE,2,FALSE)))) +
   (IF(J29="Yes", 0, IF(H29="-",AA29,AA29+AA29*VLOOKUP(H29,BUFFERS_BY_TYPE,2,FALSE))))*VLOOKUP($S$5, SALES_CALL_SCALE_ARRAY, 2,FALSE),0.25)</f>
        <v/>
      </c>
      <c r="T29" s="116" t="n"/>
      <c r="U29" s="17" t="n">
        <v>0</v>
      </c>
      <c r="V29" s="17" t="n">
        <v>1</v>
      </c>
      <c r="W29" s="17" t="n">
        <v>0</v>
      </c>
      <c r="X29" s="115" t="n">
        <v>0.5</v>
      </c>
      <c r="Y29" s="230">
        <f>CEILING((IF(P29=AS_DEV_EFFORT, DEV_EFFORT*Q29%,
                           IF(P29=AS_DURATION_EFFORT, (MANUAL_DURATION*5)*Q29%,
                                    (IF(Q29&lt;=1,X29,
                                          IF(SUM(U29:W29)=0,(Q29*X29),
                                               (((Q29*U29)*(X29+(X29*EXTRA_FOR_H)))+
                                               ((Q29*V29)*X29)+
                                               ((Q29*W29)*(X29-(X29*LESS_FOR_L)))
                                    )*IF(R29=0,1,R29))))))+Z29), 0.25)</f>
        <v/>
      </c>
      <c r="Z29" s="18" t="n"/>
      <c r="AA29" s="230">
        <f>Y29+Y29*VLOOKUP(I29,EXTRAS_ARRAY,2,FALSE)</f>
        <v/>
      </c>
      <c r="AB29" s="16" t="inlineStr">
        <is>
          <t>4 personas × 0.5 PD = 2 PDs: returning shopper, gifter, guest checkout, admin.</t>
        </is>
      </c>
      <c r="AC29" s="29" t="n"/>
      <c r="AD29" s="226">
        <f>IF(J29&lt;&gt;"Yes",
IF(S29&lt;=0,"Error: Effort value is not defined or is invalid.",
IF(AND(SUM(U29:W29)&gt;0,SUM(U29:W29)&lt;&gt;1),"Error: Complexity % distribution should sum to 100%.",
IF(AND(P29=AS_DEV_EFFORT,X29&lt;&gt;0),"Error: PDs should not be defined when defining as dev effort %.",
IF(AND(P29=AS_DURATION_EFFORT,X29&lt;&gt;0),"Error: PDs should not be defined when defining as duration effort %.","")))))</f>
        <v/>
      </c>
    </row>
    <row r="30" hidden="1" outlineLevel="2" ht="43.5" customHeight="1" s="337">
      <c r="A30" s="212" t="inlineStr">
        <is>
          <t>A</t>
        </is>
      </c>
      <c r="B30" s="14" t="n"/>
      <c r="C30" s="62" t="n"/>
      <c r="D30" s="62" t="n"/>
      <c r="E30" s="62" t="n"/>
      <c r="F30" s="63" t="n"/>
      <c r="G30" s="15" t="inlineStr">
        <is>
          <t>-</t>
        </is>
      </c>
      <c r="H30" s="15" t="inlineStr">
        <is>
          <t>-</t>
        </is>
      </c>
      <c r="I30" s="16" t="inlineStr">
        <is>
          <t>-</t>
        </is>
      </c>
      <c r="J30" s="15" t="inlineStr">
        <is>
          <t>-</t>
        </is>
      </c>
      <c r="K30" s="30" t="n"/>
      <c r="L30" s="15" t="n"/>
      <c r="M30" s="229">
        <f>IFERROR(OFFSET(M30,-1,,1,1)+0.1,OFFSET(M30,-1,-1,1,1)&amp;".1")</f>
        <v/>
      </c>
      <c r="N30" s="16" t="inlineStr">
        <is>
          <t>Create User Journeys
&gt;&gt; Browse → PDP → Cart → Checkout → Confirmation
&gt;&gt; Account self-service: orders list, order detail, cancellation
&gt;&gt; Search and discovery journey (Elastic Cloud or in-memory /api/products/search)
&gt;&gt; Coupon redemption journey (WELCOME10 / SAVE20 / FREESHIP)</t>
        </is>
      </c>
      <c r="O30" s="16" t="inlineStr">
        <is>
          <t>Journeys</t>
        </is>
      </c>
      <c r="P30" s="16" t="n"/>
      <c r="Q30" s="100" t="n">
        <v>5</v>
      </c>
      <c r="R30" s="95" t="n"/>
      <c r="S30" s="230">
        <f>CEILING((IF(J30="Yes", 0, IF(H30="-",AA30,AA30+AA30*VLOOKUP(H30,BUFFERS_BY_TYPE,2,FALSE)))) +
   (IF(J30="Yes", 0, IF(H30="-",AA30,AA30+AA30*VLOOKUP(H30,BUFFERS_BY_TYPE,2,FALSE))))*VLOOKUP($S$5, SALES_CALL_SCALE_ARRAY, 2,FALSE),0.25)</f>
        <v/>
      </c>
      <c r="T30" s="116" t="n"/>
      <c r="U30" s="17" t="n">
        <v>0</v>
      </c>
      <c r="V30" s="17" t="n">
        <v>1</v>
      </c>
      <c r="W30" s="17" t="n">
        <v>0</v>
      </c>
      <c r="X30" s="115" t="n">
        <v>0.5</v>
      </c>
      <c r="Y30" s="230">
        <f>CEILING((IF(P30=AS_DEV_EFFORT, DEV_EFFORT*Q30%,
                           IF(P30=AS_DURATION_EFFORT, (MANUAL_DURATION*5)*Q30%,
                                    (IF(Q30&lt;=1,X30,
                                          IF(SUM(U30:W30)=0,(Q30*X30),
                                               (((Q30*U30)*(X30+(X30*EXTRA_FOR_H)))+
                                               ((Q30*V30)*X30)+
                                               ((Q30*W30)*(X30-(X30*LESS_FOR_L)))
                                    )*IF(R30=0,1,R30))))))+Z30), 0.25)</f>
        <v/>
      </c>
      <c r="Z30" s="18" t="n"/>
      <c r="AA30" s="230">
        <f>Y30+Y30*VLOOKUP(I30,EXTRAS_ARRAY,2,FALSE)</f>
        <v/>
      </c>
      <c r="AB30" s="16" t="inlineStr">
        <is>
          <t>5 journeys × 0.5 PD = 2.5 PDs: browse, Elastic/in-memory search, cart→checkout, account self-service, coupon redemption.</t>
        </is>
      </c>
      <c r="AC30" s="29" t="n"/>
      <c r="AD30" s="226">
        <f>IF(J30&lt;&gt;"Yes",
IF(S30&lt;=0,"Error: Effort value is not defined or is invalid.",
IF(AND(SUM(U30:W30)&gt;0,SUM(U30:W30)&lt;&gt;1),"Error: Complexity % distribution should sum to 100%.",
IF(AND(P30=AS_DEV_EFFORT,X30&lt;&gt;0),"Error: PDs should not be defined when defining as dev effort %.",
IF(AND(P30=AS_DURATION_EFFORT,X30&lt;&gt;0),"Error: PDs should not be defined when defining as duration effort %.","")))))</f>
        <v/>
      </c>
    </row>
    <row r="31" hidden="1" outlineLevel="2" ht="43.5" customHeight="1" s="337">
      <c r="A31" s="212" t="inlineStr">
        <is>
          <t>A</t>
        </is>
      </c>
      <c r="B31" s="14" t="n"/>
      <c r="C31" s="62" t="n"/>
      <c r="D31" s="62" t="n"/>
      <c r="E31" s="62" t="n"/>
      <c r="F31" s="63" t="n"/>
      <c r="G31" s="15" t="inlineStr">
        <is>
          <t>-</t>
        </is>
      </c>
      <c r="H31" s="15" t="inlineStr">
        <is>
          <t>-</t>
        </is>
      </c>
      <c r="I31" s="16" t="inlineStr">
        <is>
          <t>-</t>
        </is>
      </c>
      <c r="J31" s="15" t="inlineStr">
        <is>
          <t>-</t>
        </is>
      </c>
      <c r="K31" s="30" t="n"/>
      <c r="L31" s="15" t="n"/>
      <c r="M31" s="229">
        <f>IFERROR(OFFSET(M31,-1,,1,1)+0.1,OFFSET(M31,-1,-1,1,1)&amp;".1")</f>
        <v/>
      </c>
      <c r="N31" s="16" t="inlineStr">
        <is>
          <t>Client Presentation, review and Sign-off
&gt;&gt; Walk-through of personas + journey maps with stakeholders
&gt;&gt; Capture feedback and revise (max 2 review iterations)
&gt;&gt; Formal sign-off on personas, journeys and prioritised opportunities</t>
        </is>
      </c>
      <c r="O31" s="16" t="inlineStr">
        <is>
          <t>Iterations</t>
        </is>
      </c>
      <c r="P31" s="16" t="n"/>
      <c r="Q31" s="100" t="n">
        <v>2</v>
      </c>
      <c r="R31" s="95" t="n"/>
      <c r="S31" s="230">
        <f>CEILING((IF(J31="Yes", 0, IF(H31="-",AA31,AA31+AA31*VLOOKUP(H31,BUFFERS_BY_TYPE,2,FALSE)))) +
   (IF(J31="Yes", 0, IF(H31="-",AA31,AA31+AA31*VLOOKUP(H31,BUFFERS_BY_TYPE,2,FALSE))))*VLOOKUP($S$5, SALES_CALL_SCALE_ARRAY, 2,FALSE),0.25)</f>
        <v/>
      </c>
      <c r="T31" s="116" t="n"/>
      <c r="U31" s="17" t="n">
        <v>0</v>
      </c>
      <c r="V31" s="17" t="n">
        <v>1</v>
      </c>
      <c r="W31" s="17" t="n">
        <v>0</v>
      </c>
      <c r="X31" s="115" t="n">
        <v>1</v>
      </c>
      <c r="Y31" s="230">
        <f>CEILING((IF(P31=AS_DEV_EFFORT, DEV_EFFORT*Q31%,
                           IF(P31=AS_DURATION_EFFORT, (MANUAL_DURATION*5)*Q31%,
                                    (IF(Q31&lt;=1,X31,
                                          IF(SUM(U31:W31)=0,(Q31*X31),
                                               (((Q31*U31)*(X31+(X31*EXTRA_FOR_H)))+
                                               ((Q31*V31)*X31)+
                                               ((Q31*W31)*(X31-(X31*LESS_FOR_L)))
                                    )*IF(R31=0,1,R31))))))+Z31), 0.25)</f>
        <v/>
      </c>
      <c r="Z31" s="18" t="n"/>
      <c r="AA31" s="230">
        <f>Y31+Y31*VLOOKUP(I31,EXTRAS_ARRAY,2,FALSE)</f>
        <v/>
      </c>
      <c r="AB31" s="16" t="inlineStr">
        <is>
          <t>Personas + journeys presentation, 2 review iterations.</t>
        </is>
      </c>
      <c r="AC31" s="29" t="n"/>
      <c r="AD31" s="226">
        <f>IF(J31&lt;&gt;"Yes",
IF(S31&lt;=0,"Error: Effort value is not defined or is invalid.",
IF(AND(SUM(U31:W31)&gt;0,SUM(U31:W31)&lt;&gt;1),"Error: Complexity % distribution should sum to 100%.",
IF(AND(P31=AS_DEV_EFFORT,X31&lt;&gt;0),"Error: PDs should not be defined when defining as dev effort %.",
IF(AND(P31=AS_DURATION_EFFORT,X31&lt;&gt;0),"Error: PDs should not be defined when defining as duration effort %.","")))))</f>
        <v/>
      </c>
    </row>
    <row r="32" hidden="1" outlineLevel="2" ht="7.5" customFormat="1" customHeight="1" s="294">
      <c r="A32" s="212" t="inlineStr">
        <is>
          <t>T3</t>
        </is>
      </c>
      <c r="B32" s="12" t="n"/>
      <c r="C32" s="56" t="n"/>
      <c r="D32" s="56" t="n"/>
      <c r="E32" s="56" t="n"/>
      <c r="F32" s="56" t="n"/>
      <c r="M32" s="180" t="n"/>
      <c r="T32" s="12" t="n"/>
      <c r="X32" s="12" t="n"/>
      <c r="AB32" s="7" t="n"/>
      <c r="AC32" s="7" t="n"/>
      <c r="AD32" s="7" t="n"/>
    </row>
    <row r="33" outlineLevel="1" ht="15.5" customFormat="1" customHeight="1" s="298">
      <c r="A33" s="212" t="inlineStr">
        <is>
          <t>T1</t>
        </is>
      </c>
      <c r="B33" s="14" t="n"/>
      <c r="C33" s="61" t="n"/>
      <c r="D33" s="61" t="n"/>
      <c r="E33" s="61" t="n"/>
      <c r="F33" s="60" t="n"/>
      <c r="G33" s="24" t="n"/>
      <c r="H33" s="24" t="n"/>
      <c r="I33" s="24" t="n"/>
      <c r="J33" s="24" t="n"/>
      <c r="K33" s="24" t="n"/>
      <c r="L33" s="223">
        <f>LOOKUP(1000,INDIRECT("L1:"&amp;CELL("address",INDIRECT("R[-1]C",FALSE))))+1</f>
        <v/>
      </c>
      <c r="M33" s="301" t="inlineStr">
        <is>
          <t>Audit</t>
        </is>
      </c>
      <c r="N33" s="302" t="n"/>
      <c r="O33" s="4" t="n"/>
      <c r="P33" s="25" t="n"/>
      <c r="Q33" s="25" t="n"/>
      <c r="R33" s="25" t="n"/>
      <c r="S33" s="25" t="n"/>
      <c r="T33" s="225">
        <f>IF($S$6="Exclude", SUMIFS(S34:S40, J34:J40, "&lt;&gt;Yes", G34:G40, "&lt;&gt;Yes"), SUMIFS(S34:S40, J34:J40, "&lt;&gt;Yes"))</f>
        <v/>
      </c>
      <c r="U33" s="25" t="n"/>
      <c r="V33" s="25" t="n"/>
      <c r="W33" s="25" t="n"/>
      <c r="X33" s="26" t="n"/>
      <c r="Y33" s="27" t="n"/>
      <c r="Z33" s="27" t="n"/>
      <c r="AA33" s="27" t="n"/>
      <c r="AB33" s="155" t="n"/>
      <c r="AC33" s="28" t="n"/>
      <c r="AD33" s="226">
        <f>IF(M33="", "Error: Task name cannot be empty.", "")</f>
        <v/>
      </c>
    </row>
    <row r="34" outlineLevel="2" ht="1.5" customFormat="1" customHeight="1" s="9">
      <c r="A34" s="212" t="inlineStr">
        <is>
          <t>T2</t>
        </is>
      </c>
      <c r="B34" s="14" t="n"/>
      <c r="C34" s="61" t="n"/>
      <c r="D34" s="61" t="n"/>
      <c r="E34" s="61" t="n"/>
      <c r="F34" s="60" t="n"/>
      <c r="G34" s="24" t="n"/>
      <c r="H34" s="24" t="n"/>
      <c r="I34" s="24" t="n"/>
      <c r="J34" s="24" t="n"/>
      <c r="K34" s="24" t="n"/>
      <c r="L34" s="227">
        <f>L33</f>
        <v/>
      </c>
      <c r="M34" s="228" t="inlineStr">
        <is>
          <t>X</t>
        </is>
      </c>
      <c r="N34" s="118" t="n"/>
      <c r="O34" s="119" t="n"/>
      <c r="P34" s="25" t="n"/>
      <c r="Q34" s="25" t="n"/>
      <c r="R34" s="25" t="n"/>
      <c r="S34" s="25" t="n"/>
      <c r="T34" s="114" t="n"/>
      <c r="U34" s="25" t="n"/>
      <c r="V34" s="25" t="n"/>
      <c r="W34" s="25" t="n"/>
      <c r="X34" s="26" t="n"/>
      <c r="Y34" s="27" t="n"/>
      <c r="Z34" s="27" t="n"/>
      <c r="AA34" s="27" t="n"/>
      <c r="AB34" s="28" t="n"/>
      <c r="AC34" s="28" t="n"/>
      <c r="AD34" s="19" t="n"/>
    </row>
    <row r="35" outlineLevel="2" ht="43.5" customHeight="1" s="337">
      <c r="A35" s="212" t="inlineStr">
        <is>
          <t>A</t>
        </is>
      </c>
      <c r="B35" s="14" t="n"/>
      <c r="C35" s="62" t="n"/>
      <c r="D35" s="62" t="n"/>
      <c r="E35" s="62" t="n"/>
      <c r="F35" s="63" t="n"/>
      <c r="G35" s="15" t="inlineStr">
        <is>
          <t>-</t>
        </is>
      </c>
      <c r="H35" s="15" t="inlineStr">
        <is>
          <t>-</t>
        </is>
      </c>
      <c r="I35" s="16" t="inlineStr">
        <is>
          <t>-</t>
        </is>
      </c>
      <c r="J35" s="15" t="inlineStr">
        <is>
          <t>-</t>
        </is>
      </c>
      <c r="K35" s="30" t="n"/>
      <c r="L35" s="15" t="n"/>
      <c r="M35" s="229">
        <f>IFERROR(OFFSET(M35,-1,,1,1)+0.1,OFFSET(M35,-1,-1,1,1)&amp;".1")</f>
        <v/>
      </c>
      <c r="N35" s="16" t="inlineStr">
        <is>
          <t>Competitor Analysis
&gt;&gt; Benchmark against 2 modern apparel storefronts (one luxury, one fast-fashion)
&gt;&gt; Compare PDP, search, checkout, account and post-purchase flows
&gt;&gt; Capture best-practice patterns + anti-patterns</t>
        </is>
      </c>
      <c r="O35" s="16" t="inlineStr">
        <is>
          <t>Competitors</t>
        </is>
      </c>
      <c r="P35" s="16" t="n"/>
      <c r="Q35" s="100" t="n">
        <v>2</v>
      </c>
      <c r="R35" s="95" t="n"/>
      <c r="S35" s="230">
        <f>CEILING((IF(J35="Yes", 0, IF(H35="-",AA35,AA35+AA35*VLOOKUP(H35,BUFFERS_BY_TYPE,2,FALSE)))) +
   (IF(J35="Yes", 0, IF(H35="-",AA35,AA35+AA35*VLOOKUP(H35,BUFFERS_BY_TYPE,2,FALSE))))*VLOOKUP($S$5, SALES_CALL_SCALE_ARRAY, 2,FALSE),0.25)</f>
        <v/>
      </c>
      <c r="T35" s="116" t="n"/>
      <c r="U35" s="17" t="n">
        <v>0</v>
      </c>
      <c r="V35" s="17" t="n">
        <v>1</v>
      </c>
      <c r="W35" s="17" t="n">
        <v>0</v>
      </c>
      <c r="X35" s="115" t="n">
        <v>0.5</v>
      </c>
      <c r="Y35" s="230">
        <f>CEILING((IF(P35=AS_DEV_EFFORT, DEV_EFFORT*Q35%,
                           IF(P35=AS_DURATION_EFFORT, (MANUAL_DURATION*5)*Q35%,
                                    (IF(Q35&lt;=1,X35,
                                          IF(SUM(U35:W35)=0,(Q35*X35),
                                               (((Q35*U35)*(X35+(X35*EXTRA_FOR_H)))+
                                               ((Q35*V35)*X35)+
                                               ((Q35*W35)*(X35-(X35*LESS_FOR_L)))
                                    )*IF(R35=0,1,R35))))))+Z35), 0.25)</f>
        <v/>
      </c>
      <c r="Z35" s="18" t="n"/>
      <c r="AA35" s="230">
        <f>Y35+Y35*VLOOKUP(I35,EXTRAS_ARRAY,2,FALSE)</f>
        <v/>
      </c>
      <c r="AB35" s="16" t="inlineStr">
        <is>
          <t>2 competitors × 0.5 PD = 1 PD benchmark.</t>
        </is>
      </c>
      <c r="AC35" s="29" t="n"/>
      <c r="AD35" s="226">
        <f>IF(J35&lt;&gt;"Yes",
IF(S35&lt;=0,"Error: Effort value is not defined or is invalid.",
IF(AND(SUM(U35:W35)&gt;0,SUM(U35:W35)&lt;&gt;1),"Error: Complexity % distribution should sum to 100%.",
IF(AND(P35=AS_DEV_EFFORT,X35&lt;&gt;0),"Error: PDs should not be defined when defining as dev effort %.",
IF(AND(P35=AS_DURATION_EFFORT,X35&lt;&gt;0),"Error: PDs should not be defined when defining as duration effort %.","")))))</f>
        <v/>
      </c>
    </row>
    <row r="36" outlineLevel="2" ht="43.5" customHeight="1" s="337">
      <c r="A36" s="212" t="inlineStr">
        <is>
          <t>A</t>
        </is>
      </c>
      <c r="B36" s="14" t="n"/>
      <c r="C36" s="62" t="n"/>
      <c r="D36" s="62" t="n"/>
      <c r="E36" s="62" t="n"/>
      <c r="F36" s="63" t="n"/>
      <c r="G36" s="15" t="inlineStr">
        <is>
          <t>-</t>
        </is>
      </c>
      <c r="H36" s="15" t="inlineStr">
        <is>
          <t>-</t>
        </is>
      </c>
      <c r="I36" s="16" t="inlineStr">
        <is>
          <t>-</t>
        </is>
      </c>
      <c r="J36" s="15" t="inlineStr">
        <is>
          <t>-</t>
        </is>
      </c>
      <c r="K36" s="30" t="n"/>
      <c r="L36" s="15" t="n"/>
      <c r="M36" s="229">
        <f>IFERROR(OFFSET(M36,-1,,1,1)+0.1,OFFSET(M36,-1,-1,1,1)&amp;".1")</f>
        <v/>
      </c>
      <c r="N36" s="16" t="inlineStr">
        <is>
          <t>User Observations
&gt;&gt; Contextual observation of in-store + online shoppers
&gt;&gt; Heatmap and session-recording review of existing storefront
&gt;&gt; Document friction points and drop-off hotspots</t>
        </is>
      </c>
      <c r="O36" s="16" t="inlineStr">
        <is>
          <t>Sessions</t>
        </is>
      </c>
      <c r="P36" s="16" t="n"/>
      <c r="Q36" s="100" t="n">
        <v>6</v>
      </c>
      <c r="R36" s="95" t="n"/>
      <c r="S36" s="230">
        <f>CEILING((IF(J36="Yes", 0, IF(H36="-",AA36,AA36+AA36*VLOOKUP(H36,BUFFERS_BY_TYPE,2,FALSE)))) +
   (IF(J36="Yes", 0, IF(H36="-",AA36,AA36+AA36*VLOOKUP(H36,BUFFERS_BY_TYPE,2,FALSE))))*VLOOKUP($S$5, SALES_CALL_SCALE_ARRAY, 2,FALSE),0.25)</f>
        <v/>
      </c>
      <c r="T36" s="116" t="n"/>
      <c r="U36" s="17" t="n">
        <v>0</v>
      </c>
      <c r="V36" s="17" t="n">
        <v>1</v>
      </c>
      <c r="W36" s="17" t="n">
        <v>0</v>
      </c>
      <c r="X36" s="115" t="n">
        <v>0.25</v>
      </c>
      <c r="Y36" s="230">
        <f>CEILING((IF(P36=AS_DEV_EFFORT, DEV_EFFORT*Q36%,
                           IF(P36=AS_DURATION_EFFORT, (MANUAL_DURATION*5)*Q36%,
                                    (IF(Q36&lt;=1,X36,
                                          IF(SUM(U36:W36)=0,(Q36*X36),
                                               (((Q36*U36)*(X36+(X36*EXTRA_FOR_H)))+
                                               ((Q36*V36)*X36)+
                                               ((Q36*W36)*(X36-(X36*LESS_FOR_L)))
                                    )*IF(R36=0,1,R36))))))+Z36), 0.25)</f>
        <v/>
      </c>
      <c r="Z36" s="18" t="n"/>
      <c r="AA36" s="230">
        <f>Y36+Y36*VLOOKUP(I36,EXTRAS_ARRAY,2,FALSE)</f>
        <v/>
      </c>
      <c r="AB36" s="16" t="inlineStr">
        <is>
          <t>6 observation sessions × 0.25 PD = 1.5 PDs.</t>
        </is>
      </c>
      <c r="AC36" s="29" t="n"/>
      <c r="AD36" s="226">
        <f>IF(J36&lt;&gt;"Yes",
IF(S36&lt;=0,"Error: Effort value is not defined or is invalid.",
IF(AND(SUM(U36:W36)&gt;0,SUM(U36:W36)&lt;&gt;1),"Error: Complexity % distribution should sum to 100%.",
IF(AND(P36=AS_DEV_EFFORT,X36&lt;&gt;0),"Error: PDs should not be defined when defining as dev effort %.",
IF(AND(P36=AS_DURATION_EFFORT,X36&lt;&gt;0),"Error: PDs should not be defined when defining as duration effort %.","")))))</f>
        <v/>
      </c>
    </row>
    <row r="37" outlineLevel="2" ht="43.5" customHeight="1" s="337">
      <c r="A37" s="212" t="inlineStr">
        <is>
          <t>A</t>
        </is>
      </c>
      <c r="B37" s="14" t="n"/>
      <c r="C37" s="62" t="n"/>
      <c r="D37" s="62" t="n"/>
      <c r="E37" s="62" t="n"/>
      <c r="F37" s="63" t="n"/>
      <c r="G37" s="15" t="inlineStr">
        <is>
          <t>-</t>
        </is>
      </c>
      <c r="H37" s="15" t="inlineStr">
        <is>
          <t>-</t>
        </is>
      </c>
      <c r="I37" s="16" t="inlineStr">
        <is>
          <t>-</t>
        </is>
      </c>
      <c r="J37" s="15" t="inlineStr">
        <is>
          <t>-</t>
        </is>
      </c>
      <c r="K37" s="30" t="n"/>
      <c r="L37" s="15" t="n"/>
      <c r="M37" s="229">
        <f>IFERROR(OFFSET(M37,-1,,1,1)+0.1,OFFSET(M37,-1,-1,1,1)&amp;".1")</f>
        <v/>
      </c>
      <c r="N37" s="16" t="inlineStr">
        <is>
          <t>Expert Review
&gt;&gt; Heuristic evaluation of legacy YCompany storefront (Nielsen's 10)
&gt;&gt; Accessibility quick-audit (WCAG 2.1 AA contrast, focus, ARIA)
&gt;&gt; Mobile-first review on the 14 target screens</t>
        </is>
      </c>
      <c r="O37" s="16" t="inlineStr">
        <is>
          <t>Iterations</t>
        </is>
      </c>
      <c r="P37" s="16" t="n"/>
      <c r="Q37" s="100" t="n">
        <v>1</v>
      </c>
      <c r="R37" s="95" t="n"/>
      <c r="S37" s="230">
        <f>CEILING((IF(J37="Yes", 0, IF(H37="-",AA37,AA37+AA37*VLOOKUP(H37,BUFFERS_BY_TYPE,2,FALSE)))) +
   (IF(J37="Yes", 0, IF(H37="-",AA37,AA37+AA37*VLOOKUP(H37,BUFFERS_BY_TYPE,2,FALSE))))*VLOOKUP($S$5, SALES_CALL_SCALE_ARRAY, 2,FALSE),0.25)</f>
        <v/>
      </c>
      <c r="T37" s="116" t="n"/>
      <c r="U37" s="17" t="n">
        <v>0</v>
      </c>
      <c r="V37" s="17" t="n">
        <v>1</v>
      </c>
      <c r="W37" s="17" t="n">
        <v>0</v>
      </c>
      <c r="X37" s="115" t="n">
        <v>1</v>
      </c>
      <c r="Y37" s="230">
        <f>CEILING((IF(P37=AS_DEV_EFFORT, DEV_EFFORT*Q37%,
                           IF(P37=AS_DURATION_EFFORT, (MANUAL_DURATION*5)*Q37%,
                                    (IF(Q37&lt;=1,X37,
                                          IF(SUM(U37:W37)=0,(Q37*X37),
                                               (((Q37*U37)*(X37+(X37*EXTRA_FOR_H)))+
                                               ((Q37*V37)*X37)+
                                               ((Q37*W37)*(X37-(X37*LESS_FOR_L)))
                                    )*IF(R37=0,1,R37))))))+Z37), 0.25)</f>
        <v/>
      </c>
      <c r="Z37" s="18" t="n"/>
      <c r="AA37" s="230">
        <f>Y37+Y37*VLOOKUP(I37,EXTRAS_ARRAY,2,FALSE)</f>
        <v/>
      </c>
      <c r="AB37" s="16" t="inlineStr">
        <is>
          <t>Heuristic expert review (1 PD).</t>
        </is>
      </c>
      <c r="AC37" s="29" t="n"/>
      <c r="AD37" s="226">
        <f>IF(J37&lt;&gt;"Yes",
IF(S37&lt;=0,"Error: Effort value is not defined or is invalid.",
IF(AND(SUM(U37:W37)&gt;0,SUM(U37:W37)&lt;&gt;1),"Error: Complexity % distribution should sum to 100%.",
IF(AND(P37=AS_DEV_EFFORT,X37&lt;&gt;0),"Error: PDs should not be defined when defining as dev effort %.",
IF(AND(P37=AS_DURATION_EFFORT,X37&lt;&gt;0),"Error: PDs should not be defined when defining as duration effort %.","")))))</f>
        <v/>
      </c>
    </row>
    <row r="38" outlineLevel="2" ht="43.5" customHeight="1" s="337">
      <c r="A38" s="212" t="inlineStr">
        <is>
          <t>A</t>
        </is>
      </c>
      <c r="B38" s="14" t="n"/>
      <c r="C38" s="62" t="n"/>
      <c r="D38" s="62" t="n"/>
      <c r="E38" s="62" t="n"/>
      <c r="F38" s="63" t="n"/>
      <c r="G38" s="15" t="inlineStr">
        <is>
          <t>-</t>
        </is>
      </c>
      <c r="H38" s="15" t="inlineStr">
        <is>
          <t>-</t>
        </is>
      </c>
      <c r="I38" s="16" t="inlineStr">
        <is>
          <t>-</t>
        </is>
      </c>
      <c r="J38" s="15" t="inlineStr">
        <is>
          <t>-</t>
        </is>
      </c>
      <c r="K38" s="30" t="n"/>
      <c r="L38" s="15" t="n"/>
      <c r="M38" s="229">
        <f>IFERROR(OFFSET(M38,-1,,1,1)+0.1,OFFSET(M38,-1,-1,1,1)&amp;".1")</f>
        <v/>
      </c>
      <c r="N38" s="16" t="inlineStr">
        <is>
          <t>Task Analysis
&gt;&gt; Decompose checkout and order management into atomic tasks
&gt;&gt; Identify cognitive + interaction load per step
&gt;&gt; Map tasks to backlog items + acceptance criteria</t>
        </is>
      </c>
      <c r="O38" s="16" t="inlineStr">
        <is>
          <t>Iterations</t>
        </is>
      </c>
      <c r="P38" s="16" t="n"/>
      <c r="Q38" s="100" t="n">
        <v>1</v>
      </c>
      <c r="R38" s="95" t="n"/>
      <c r="S38" s="230">
        <f>CEILING((IF(J38="Yes", 0, IF(H38="-",AA38,AA38+AA38*VLOOKUP(H38,BUFFERS_BY_TYPE,2,FALSE)))) +
   (IF(J38="Yes", 0, IF(H38="-",AA38,AA38+AA38*VLOOKUP(H38,BUFFERS_BY_TYPE,2,FALSE))))*VLOOKUP($S$5, SALES_CALL_SCALE_ARRAY, 2,FALSE),0.25)</f>
        <v/>
      </c>
      <c r="T38" s="116" t="n"/>
      <c r="U38" s="17" t="n">
        <v>0</v>
      </c>
      <c r="V38" s="17" t="n">
        <v>1</v>
      </c>
      <c r="W38" s="17" t="n">
        <v>0</v>
      </c>
      <c r="X38" s="115" t="n">
        <v>1</v>
      </c>
      <c r="Y38" s="230">
        <f>CEILING((IF(P38=AS_DEV_EFFORT, DEV_EFFORT*Q38%,
                           IF(P38=AS_DURATION_EFFORT, (MANUAL_DURATION*5)*Q38%,
                                    (IF(Q38&lt;=1,X38,
                                          IF(SUM(U38:W38)=0,(Q38*X38),
                                               (((Q38*U38)*(X38+(X38*EXTRA_FOR_H)))+
                                               ((Q38*V38)*X38)+
                                               ((Q38*W38)*(X38-(X38*LESS_FOR_L)))
                                    )*IF(R38=0,1,R38))))))+Z38), 0.25)</f>
        <v/>
      </c>
      <c r="Z38" s="18" t="n"/>
      <c r="AA38" s="230">
        <f>Y38+Y38*VLOOKUP(I38,EXTRAS_ARRAY,2,FALSE)</f>
        <v/>
      </c>
      <c r="AB38" s="16" t="inlineStr">
        <is>
          <t>Task analysis for checkout + order management (1 PD).</t>
        </is>
      </c>
      <c r="AC38" s="29" t="n"/>
      <c r="AD38" s="226">
        <f>IF(J38&lt;&gt;"Yes",
IF(S38&lt;=0,"Error: Effort value is not defined or is invalid.",
IF(AND(SUM(U38:W38)&gt;0,SUM(U38:W38)&lt;&gt;1),"Error: Complexity % distribution should sum to 100%.",
IF(AND(P38=AS_DEV_EFFORT,X38&lt;&gt;0),"Error: PDs should not be defined when defining as dev effort %.",
IF(AND(P38=AS_DURATION_EFFORT,X38&lt;&gt;0),"Error: PDs should not be defined when defining as duration effort %.","")))))</f>
        <v/>
      </c>
    </row>
    <row r="39" outlineLevel="2" ht="43.5" customHeight="1" s="337">
      <c r="A39" s="212" t="inlineStr">
        <is>
          <t>A</t>
        </is>
      </c>
      <c r="B39" s="14" t="n"/>
      <c r="C39" s="62" t="n"/>
      <c r="D39" s="62" t="n"/>
      <c r="E39" s="62" t="n"/>
      <c r="F39" s="63" t="n"/>
      <c r="G39" s="15" t="inlineStr">
        <is>
          <t>-</t>
        </is>
      </c>
      <c r="H39" s="15" t="inlineStr">
        <is>
          <t>-</t>
        </is>
      </c>
      <c r="I39" s="16" t="inlineStr">
        <is>
          <t>-</t>
        </is>
      </c>
      <c r="J39" s="15" t="inlineStr">
        <is>
          <t>-</t>
        </is>
      </c>
      <c r="K39" s="30" t="n"/>
      <c r="L39" s="15" t="n"/>
      <c r="M39" s="229">
        <f>IFERROR(OFFSET(M39,-1,,1,1)+0.1,OFFSET(M39,-1,-1,1,1)&amp;".1")</f>
        <v/>
      </c>
      <c r="N39" s="16" t="inlineStr">
        <is>
          <t>Client Presentation, review and Sign-off
&gt;&gt; Walkthrough of audit findings + recommendations
&gt;&gt; Prioritise quick wins vs. long-term improvements
&gt;&gt; Sign-off on audit and analysis report</t>
        </is>
      </c>
      <c r="O39" s="16" t="inlineStr">
        <is>
          <t>Iterations</t>
        </is>
      </c>
      <c r="P39" s="16" t="n"/>
      <c r="Q39" s="100" t="n">
        <v>1</v>
      </c>
      <c r="R39" s="95" t="n"/>
      <c r="S39" s="230">
        <f>CEILING((IF(J39="Yes", 0, IF(H39="-",AA39,AA39+AA39*VLOOKUP(H39,BUFFERS_BY_TYPE,2,FALSE)))) +
   (IF(J39="Yes", 0, IF(H39="-",AA39,AA39+AA39*VLOOKUP(H39,BUFFERS_BY_TYPE,2,FALSE))))*VLOOKUP($S$5, SALES_CALL_SCALE_ARRAY, 2,FALSE),0.25)</f>
        <v/>
      </c>
      <c r="T39" s="116" t="n"/>
      <c r="U39" s="17" t="n">
        <v>0</v>
      </c>
      <c r="V39" s="17" t="n">
        <v>1</v>
      </c>
      <c r="W39" s="17" t="n">
        <v>0</v>
      </c>
      <c r="X39" s="115" t="n">
        <v>1</v>
      </c>
      <c r="Y39" s="230">
        <f>CEILING((IF(P39=AS_DEV_EFFORT, DEV_EFFORT*Q39%,
                           IF(P39=AS_DURATION_EFFORT, (MANUAL_DURATION*5)*Q39%,
                                    (IF(Q39&lt;=1,X39,
                                          IF(SUM(U39:W39)=0,(Q39*X39),
                                               (((Q39*U39)*(X39+(X39*EXTRA_FOR_H)))+
                                               ((Q39*V39)*X39)+
                                               ((Q39*W39)*(X39-(X39*LESS_FOR_L)))
                                    )*IF(R39=0,1,R39))))))+Z39), 0.25)</f>
        <v/>
      </c>
      <c r="Z39" s="18" t="n"/>
      <c r="AA39" s="230">
        <f>Y39+Y39*VLOOKUP(I39,EXTRAS_ARRAY,2,FALSE)</f>
        <v/>
      </c>
      <c r="AB39" s="16" t="inlineStr">
        <is>
          <t>Audit walkthrough + sign-off (1 PD).</t>
        </is>
      </c>
      <c r="AC39" s="29" t="n"/>
      <c r="AD39" s="226">
        <f>IF(J39&lt;&gt;"Yes",
IF(S39&lt;=0,"Error: Effort value is not defined or is invalid.",
IF(AND(SUM(U39:W39)&gt;0,SUM(U39:W39)&lt;&gt;1),"Error: Complexity % distribution should sum to 100%.",
IF(AND(P39=AS_DEV_EFFORT,X39&lt;&gt;0),"Error: PDs should not be defined when defining as dev effort %.",
IF(AND(P39=AS_DURATION_EFFORT,X39&lt;&gt;0),"Error: PDs should not be defined when defining as duration effort %.","")))))</f>
        <v/>
      </c>
    </row>
    <row r="40" outlineLevel="2" ht="7.5" customFormat="1" customHeight="1" s="294">
      <c r="A40" s="212" t="inlineStr">
        <is>
          <t>T3</t>
        </is>
      </c>
      <c r="B40" s="12" t="n"/>
      <c r="C40" s="56" t="n"/>
      <c r="D40" s="56" t="n"/>
      <c r="E40" s="56" t="n"/>
      <c r="F40" s="56" t="n"/>
      <c r="M40" s="180" t="n"/>
      <c r="T40" s="12" t="n"/>
      <c r="X40" s="12" t="n"/>
      <c r="AB40" s="7" t="n"/>
      <c r="AC40" s="7" t="n"/>
      <c r="AD40" s="7" t="n"/>
    </row>
    <row r="41" outlineLevel="1" ht="15.5" customFormat="1" customHeight="1" s="298">
      <c r="A41" s="212" t="inlineStr">
        <is>
          <t>T1</t>
        </is>
      </c>
      <c r="B41" s="14" t="n"/>
      <c r="C41" s="61" t="n"/>
      <c r="D41" s="61" t="n"/>
      <c r="E41" s="61" t="n"/>
      <c r="F41" s="60" t="n"/>
      <c r="G41" s="24" t="n"/>
      <c r="H41" s="24" t="n"/>
      <c r="I41" s="24" t="n"/>
      <c r="J41" s="24" t="n"/>
      <c r="K41" s="24" t="n"/>
      <c r="L41" s="223">
        <f>LOOKUP(1000,INDIRECT("L1:"&amp;CELL("address",INDIRECT("R[-1]C",FALSE))))+1</f>
        <v/>
      </c>
      <c r="M41" s="301" t="inlineStr">
        <is>
          <t>Requirement Documentation and Review</t>
        </is>
      </c>
      <c r="N41" s="302" t="n"/>
      <c r="O41" s="4" t="n"/>
      <c r="P41" s="25" t="n"/>
      <c r="Q41" s="25" t="n"/>
      <c r="R41" s="25" t="n"/>
      <c r="S41" s="25" t="n"/>
      <c r="T41" s="225">
        <f>IF($S$6="Exclude", SUMIFS(S42:S46, J42:J46, "&lt;&gt;Yes", G42:G46, "&lt;&gt;Yes"), SUMIFS(S42:S46, J42:J46, "&lt;&gt;Yes"))</f>
        <v/>
      </c>
      <c r="U41" s="25" t="n"/>
      <c r="V41" s="25" t="n"/>
      <c r="W41" s="25" t="n"/>
      <c r="X41" s="26" t="n"/>
      <c r="Y41" s="27" t="n"/>
      <c r="Z41" s="27" t="n"/>
      <c r="AA41" s="27" t="n"/>
      <c r="AB41" s="155" t="n"/>
      <c r="AC41" s="28" t="n"/>
      <c r="AD41" s="226">
        <f>IF(M41="", "Error: Task name cannot be empty.", "")</f>
        <v/>
      </c>
    </row>
    <row r="42" outlineLevel="2" ht="1.5" customFormat="1" customHeight="1" s="9">
      <c r="A42" s="212" t="inlineStr">
        <is>
          <t>T2</t>
        </is>
      </c>
      <c r="B42" s="14" t="n"/>
      <c r="C42" s="61" t="n"/>
      <c r="D42" s="61" t="n"/>
      <c r="E42" s="61" t="n"/>
      <c r="F42" s="60" t="n"/>
      <c r="G42" s="24" t="n"/>
      <c r="H42" s="24" t="n"/>
      <c r="I42" s="24" t="n"/>
      <c r="J42" s="24" t="n"/>
      <c r="K42" s="24" t="n"/>
      <c r="L42" s="227">
        <f>L41</f>
        <v/>
      </c>
      <c r="M42" s="228" t="inlineStr">
        <is>
          <t>X</t>
        </is>
      </c>
      <c r="N42" s="118" t="n"/>
      <c r="O42" s="119" t="n"/>
      <c r="P42" s="25" t="n"/>
      <c r="Q42" s="25" t="n"/>
      <c r="R42" s="25" t="n"/>
      <c r="S42" s="25" t="n"/>
      <c r="T42" s="114" t="n"/>
      <c r="U42" s="25" t="n"/>
      <c r="V42" s="25" t="n"/>
      <c r="W42" s="25" t="n"/>
      <c r="X42" s="26" t="n"/>
      <c r="Y42" s="27" t="n"/>
      <c r="Z42" s="27" t="n"/>
      <c r="AA42" s="27" t="n"/>
      <c r="AB42" s="28" t="n"/>
      <c r="AC42" s="28" t="n"/>
      <c r="AD42" s="19" t="n"/>
    </row>
    <row r="43" outlineLevel="2" ht="116" customHeight="1" s="337">
      <c r="A43" s="212" t="inlineStr">
        <is>
          <t>A</t>
        </is>
      </c>
      <c r="B43" s="14" t="n"/>
      <c r="C43" s="62" t="n"/>
      <c r="D43" s="62" t="n"/>
      <c r="E43" s="62" t="n"/>
      <c r="F43" s="63" t="n"/>
      <c r="G43" s="15" t="inlineStr">
        <is>
          <t>-</t>
        </is>
      </c>
      <c r="H43" s="15" t="inlineStr">
        <is>
          <t>-</t>
        </is>
      </c>
      <c r="I43" s="16" t="inlineStr">
        <is>
          <t>-</t>
        </is>
      </c>
      <c r="J43" s="15" t="inlineStr">
        <is>
          <t>-</t>
        </is>
      </c>
      <c r="K43" s="30" t="n"/>
      <c r="L43" s="15" t="n"/>
      <c r="M43" s="229">
        <f>IFERROR(OFFSET(M43,-1,,1,1)+0.1,OFFSET(M43,-1,-1,1,1)&amp;".1")</f>
        <v/>
      </c>
      <c r="N43" s="16" t="inlineStr">
        <is>
          <t>SRS: Software Requirement Specification
&gt;&gt; Preparation of SRS document (Total_FRs × Use Cases / FR)
&gt;&gt; Use Cases / Stories incl. business rules, validations, CRUD per field
&gt;&gt; Business process diagrams (sequence + state) for checkout, orders and email notifications
&gt;&gt; Wireframes for the 14 storefront screens
&gt;&gt; Functional coverage matrix mapped to NextAuth, Stripe, Elastic search and Resend APIs</t>
        </is>
      </c>
      <c r="O43" s="16" t="inlineStr">
        <is>
          <t>Name : Total Use Cases
# : Total FR's
xN : Use Case Per FR</t>
        </is>
      </c>
      <c r="P43" s="16">
        <f>Total_FRs * R43</f>
        <v/>
      </c>
      <c r="Q43" s="100">
        <f>Total_FRs</f>
        <v/>
      </c>
      <c r="R43" s="95" t="n">
        <v>3</v>
      </c>
      <c r="S43" s="230">
        <f>CEILING((IF(J43="Yes", 0, IF(H43="-",AA43,AA43+AA43*VLOOKUP(H43,BUFFERS_BY_TYPE,2,FALSE)))) +
   (IF(J43="Yes", 0, IF(H43="-",AA43,AA43+AA43*VLOOKUP(H43,BUFFERS_BY_TYPE,2,FALSE))))*VLOOKUP($S$5, SALES_CALL_SCALE_ARRAY, 2,FALSE),0.25)</f>
        <v/>
      </c>
      <c r="T43" s="116" t="n"/>
      <c r="U43" s="17" t="n">
        <v>0</v>
      </c>
      <c r="V43" s="17" t="n">
        <v>1</v>
      </c>
      <c r="W43" s="17" t="n">
        <v>0</v>
      </c>
      <c r="X43" s="115" t="n">
        <v>0.2</v>
      </c>
      <c r="Y43" s="230">
        <f>CEILING((IF(P43=AS_DEV_EFFORT, DEV_EFFORT*Q43%,
                           IF(P43=AS_DURATION_EFFORT, (MANUAL_DURATION*5)*Q43%,
                                    (IF(Q43&lt;=1,X43,
                                          IF(SUM(U43:W43)=0,(Q43*X43),
                                               (((Q43*U43)*(X43+(X43*EXTRA_FOR_H)))+
                                               ((Q43*V43)*X43)+
                                               ((Q43*W43)*(X43-(X43*LESS_FOR_L)))
                                    )*IF(R43=0,1,R43))))))+Z43), 0.25)</f>
        <v/>
      </c>
      <c r="Z43" s="18" t="n"/>
      <c r="AA43" s="230">
        <f>Y43+Y43*VLOOKUP(I43,EXTRAS_ARRAY,2,FALSE)</f>
        <v/>
      </c>
      <c r="AB43" s="16" t="inlineStr">
        <is>
          <t>SRS: 0.2 PD per use case (75 × 0.2 = 15 PDs). Includes NextAuth, Stripe, Elastic Cloud search facade, Resend email flows and Search API contracts.</t>
        </is>
      </c>
      <c r="AC43" s="29" t="n"/>
      <c r="AD43" s="226">
        <f>IF(J43&lt;&gt;"Yes",
IF(S43&lt;=0,"Error: Effort value is not defined or is invalid.",
IF(AND(SUM(U43:W43)&gt;0,SUM(U43:W43)&lt;&gt;1),"Error: Complexity % distribution should sum to 100%.",
IF(AND(P43=AS_DEV_EFFORT,X43&lt;&gt;0),"Error: PDs should not be defined when defining as dev effort %.",
IF(AND(P43=AS_DURATION_EFFORT,X43&lt;&gt;0),"Error: PDs should not be defined when defining as duration effort %.","")))))</f>
        <v/>
      </c>
    </row>
    <row r="44" outlineLevel="2" ht="43.5" customHeight="1" s="337">
      <c r="A44" s="212" t="inlineStr">
        <is>
          <t>A</t>
        </is>
      </c>
      <c r="B44" s="14" t="n"/>
      <c r="C44" s="62" t="n"/>
      <c r="D44" s="62" t="n"/>
      <c r="E44" s="62" t="n"/>
      <c r="F44" s="63" t="n"/>
      <c r="G44" s="15" t="inlineStr">
        <is>
          <t>-</t>
        </is>
      </c>
      <c r="H44" s="15" t="inlineStr">
        <is>
          <t>-</t>
        </is>
      </c>
      <c r="I44" s="16" t="inlineStr">
        <is>
          <t>-</t>
        </is>
      </c>
      <c r="J44" s="15" t="inlineStr">
        <is>
          <t>-</t>
        </is>
      </c>
      <c r="K44" s="30" t="n"/>
      <c r="L44" s="15" t="n"/>
      <c r="M44" s="229">
        <f>IFERROR(OFFSET(M44,-1,,1,1)+0.1,OFFSET(M44,-1,-1,1,1)&amp;".1")</f>
        <v/>
      </c>
      <c r="N44" s="16" t="inlineStr">
        <is>
          <t>Usability Analysis
&gt;&gt; Information architecture review (header, nav, footer, search affordances)
&gt;&gt; Cart and checkout flow usability heuristics
&gt;&gt; Mobile responsive behaviour validation across the 14 screens</t>
        </is>
      </c>
      <c r="O44" s="16" t="inlineStr">
        <is>
          <t>Iterations</t>
        </is>
      </c>
      <c r="P44" s="16" t="n"/>
      <c r="Q44" s="100" t="n">
        <v>1</v>
      </c>
      <c r="R44" s="95" t="n"/>
      <c r="S44" s="230">
        <f>CEILING((IF(J44="Yes", 0, IF(H44="-",AA44,AA44+AA44*VLOOKUP(H44,BUFFERS_BY_TYPE,2,FALSE)))) +
   (IF(J44="Yes", 0, IF(H44="-",AA44,AA44+AA44*VLOOKUP(H44,BUFFERS_BY_TYPE,2,FALSE))))*VLOOKUP($S$5, SALES_CALL_SCALE_ARRAY, 2,FALSE),0.25)</f>
        <v/>
      </c>
      <c r="T44" s="116" t="n"/>
      <c r="U44" s="17" t="n">
        <v>0</v>
      </c>
      <c r="V44" s="17" t="n">
        <v>1</v>
      </c>
      <c r="W44" s="17" t="n">
        <v>0</v>
      </c>
      <c r="X44" s="115" t="n">
        <v>2</v>
      </c>
      <c r="Y44" s="230">
        <f>CEILING((IF(P44=AS_DEV_EFFORT, DEV_EFFORT*Q44%,
                           IF(P44=AS_DURATION_EFFORT, (MANUAL_DURATION*5)*Q44%,
                                    (IF(Q44&lt;=1,X44,
                                          IF(SUM(U44:W44)=0,(Q44*X44),
                                               (((Q44*U44)*(X44+(X44*EXTRA_FOR_H)))+
                                               ((Q44*V44)*X44)+
                                               ((Q44*W44)*(X44-(X44*LESS_FOR_L)))
                                    )*IF(R44=0,1,R44))))))+Z44), 0.25)</f>
        <v/>
      </c>
      <c r="Z44" s="18" t="n"/>
      <c r="AA44" s="230">
        <f>Y44+Y44*VLOOKUP(I44,EXTRAS_ARRAY,2,FALSE)</f>
        <v/>
      </c>
      <c r="AB44" s="16" t="inlineStr">
        <is>
          <t>Information flow + navigation usability analysis (2 PDs).</t>
        </is>
      </c>
      <c r="AC44" s="29" t="n"/>
      <c r="AD44" s="226">
        <f>IF(J44&lt;&gt;"Yes",
IF(S44&lt;=0,"Error: Effort value is not defined or is invalid.",
IF(AND(SUM(U44:W44)&gt;0,SUM(U44:W44)&lt;&gt;1),"Error: Complexity % distribution should sum to 100%.",
IF(AND(P44=AS_DEV_EFFORT,X44&lt;&gt;0),"Error: PDs should not be defined when defining as dev effort %.",
IF(AND(P44=AS_DURATION_EFFORT,X44&lt;&gt;0),"Error: PDs should not be defined when defining as duration effort %.","")))))</f>
        <v/>
      </c>
    </row>
    <row r="45" outlineLevel="2" ht="43.5" customHeight="1" s="337">
      <c r="A45" s="212" t="inlineStr">
        <is>
          <t>A</t>
        </is>
      </c>
      <c r="B45" s="14" t="n"/>
      <c r="C45" s="62" t="n"/>
      <c r="D45" s="62" t="n"/>
      <c r="E45" s="62" t="n"/>
      <c r="F45" s="63" t="n"/>
      <c r="G45" s="15" t="inlineStr">
        <is>
          <t>-</t>
        </is>
      </c>
      <c r="H45" s="15" t="inlineStr">
        <is>
          <t>-</t>
        </is>
      </c>
      <c r="I45" s="16" t="inlineStr">
        <is>
          <t>-</t>
        </is>
      </c>
      <c r="J45" s="15" t="inlineStr">
        <is>
          <t>-</t>
        </is>
      </c>
      <c r="K45" s="30" t="n"/>
      <c r="L45" s="15" t="n"/>
      <c r="M45" s="229">
        <f>IFERROR(OFFSET(M45,-1,,1,1)+0.1,OFFSET(M45,-1,-1,1,1)&amp;".1")</f>
        <v/>
      </c>
      <c r="N45" s="16" t="inlineStr">
        <is>
          <t>Review and Sign-off
&gt;&gt; Client review iterations on SRS, wireframes and acceptance criteria
&gt;&gt; Resolve open questions + update traceability matrix
&gt;&gt; Formal sign-off gates Phase 2 (Design)</t>
        </is>
      </c>
      <c r="O45" s="16" t="inlineStr">
        <is>
          <t>Iterations</t>
        </is>
      </c>
      <c r="P45" s="16" t="n"/>
      <c r="Q45" s="100" t="n">
        <v>2</v>
      </c>
      <c r="R45" s="95" t="n"/>
      <c r="S45" s="230">
        <f>CEILING((IF(J45="Yes", 0, IF(H45="-",AA45,AA45+AA45*VLOOKUP(H45,BUFFERS_BY_TYPE,2,FALSE)))) +
   (IF(J45="Yes", 0, IF(H45="-",AA45,AA45+AA45*VLOOKUP(H45,BUFFERS_BY_TYPE,2,FALSE))))*VLOOKUP($S$5, SALES_CALL_SCALE_ARRAY, 2,FALSE),0.25)</f>
        <v/>
      </c>
      <c r="T45" s="116" t="n"/>
      <c r="U45" s="17" t="n">
        <v>0</v>
      </c>
      <c r="V45" s="17" t="n">
        <v>1</v>
      </c>
      <c r="W45" s="17" t="n">
        <v>0</v>
      </c>
      <c r="X45" s="115" t="n">
        <v>1</v>
      </c>
      <c r="Y45" s="230">
        <f>CEILING((IF(P45=AS_DEV_EFFORT, DEV_EFFORT*Q45%,
                           IF(P45=AS_DURATION_EFFORT, (MANUAL_DURATION*5)*Q45%,
                                    (IF(Q45&lt;=1,X45,
                                          IF(SUM(U45:W45)=0,(Q45*X45),
                                               (((Q45*U45)*(X45+(X45*EXTRA_FOR_H)))+
                                               ((Q45*V45)*X45)+
                                               ((Q45*W45)*(X45-(X45*LESS_FOR_L)))
                                    )*IF(R45=0,1,R45))))))+Z45), 0.25)</f>
        <v/>
      </c>
      <c r="Z45" s="18" t="n"/>
      <c r="AA45" s="230">
        <f>Y45+Y45*VLOOKUP(I45,EXTRAS_ARRAY,2,FALSE)</f>
        <v/>
      </c>
      <c r="AB45" s="16" t="inlineStr">
        <is>
          <t>SRS review iterations × 2 = 2 PDs.</t>
        </is>
      </c>
      <c r="AC45" s="29" t="n"/>
      <c r="AD45" s="226">
        <f>IF(J45&lt;&gt;"Yes",
IF(S45&lt;=0,"Error: Effort value is not defined or is invalid.",
IF(AND(SUM(U45:W45)&gt;0,SUM(U45:W45)&lt;&gt;1),"Error: Complexity % distribution should sum to 100%.",
IF(AND(P45=AS_DEV_EFFORT,X45&lt;&gt;0),"Error: PDs should not be defined when defining as dev effort %.",
IF(AND(P45=AS_DURATION_EFFORT,X45&lt;&gt;0),"Error: PDs should not be defined when defining as duration effort %.","")))))</f>
        <v/>
      </c>
    </row>
    <row r="46" outlineLevel="2" ht="7.5" customFormat="1" customHeight="1" s="294">
      <c r="A46" s="212" t="inlineStr">
        <is>
          <t>T3</t>
        </is>
      </c>
      <c r="B46" s="12" t="n"/>
      <c r="C46" s="56" t="n"/>
      <c r="D46" s="56" t="n"/>
      <c r="E46" s="56" t="n"/>
      <c r="F46" s="56" t="n"/>
      <c r="M46" s="180" t="n"/>
      <c r="T46" s="12" t="n"/>
      <c r="X46" s="12" t="n"/>
      <c r="AB46" s="7" t="n"/>
      <c r="AC46" s="7" t="n"/>
      <c r="AD46" s="7" t="n"/>
    </row>
    <row r="47" outlineLevel="1" ht="15.5" customFormat="1" customHeight="1" s="298">
      <c r="A47" s="212" t="inlineStr">
        <is>
          <t>T1</t>
        </is>
      </c>
      <c r="B47" s="14" t="n"/>
      <c r="C47" s="61" t="n"/>
      <c r="D47" s="61" t="n"/>
      <c r="E47" s="61" t="n"/>
      <c r="F47" s="60" t="n"/>
      <c r="G47" s="24" t="n"/>
      <c r="H47" s="24" t="n"/>
      <c r="I47" s="24" t="n"/>
      <c r="J47" s="24" t="n"/>
      <c r="K47" s="24" t="n"/>
      <c r="L47" s="223">
        <f>LOOKUP(1000,INDIRECT("L1:"&amp;CELL("address",INDIRECT("R[-1]C",FALSE))))+1</f>
        <v/>
      </c>
      <c r="M47" s="301" t="inlineStr">
        <is>
          <t>Information Architecture</t>
        </is>
      </c>
      <c r="N47" s="302" t="n"/>
      <c r="O47" s="4" t="n"/>
      <c r="P47" s="25" t="n"/>
      <c r="Q47" s="25" t="n"/>
      <c r="R47" s="25" t="n"/>
      <c r="S47" s="25" t="n"/>
      <c r="T47" s="225">
        <f>IF($S$6="Exclude", SUMIFS(S48:S55, J48:J55, "&lt;&gt;Yes", G48:G55, "&lt;&gt;Yes"), SUMIFS(S48:S55, J48:J55, "&lt;&gt;Yes"))</f>
        <v/>
      </c>
      <c r="U47" s="25" t="n"/>
      <c r="V47" s="25" t="n"/>
      <c r="W47" s="25" t="n"/>
      <c r="X47" s="26" t="n"/>
      <c r="Y47" s="27" t="n"/>
      <c r="Z47" s="27" t="n"/>
      <c r="AA47" s="27" t="n"/>
      <c r="AB47" s="155" t="n"/>
      <c r="AC47" s="28" t="n"/>
      <c r="AD47" s="226">
        <f>IF(M47="", "Error: Task name cannot be empty.", "")</f>
        <v/>
      </c>
    </row>
    <row r="48" outlineLevel="2" ht="1.5" customFormat="1" customHeight="1" s="9">
      <c r="A48" s="212" t="inlineStr">
        <is>
          <t>T2</t>
        </is>
      </c>
      <c r="B48" s="14" t="n"/>
      <c r="C48" s="61" t="n"/>
      <c r="D48" s="61" t="n"/>
      <c r="E48" s="61" t="n"/>
      <c r="F48" s="60" t="n"/>
      <c r="G48" s="24" t="n"/>
      <c r="H48" s="24" t="n"/>
      <c r="I48" s="24" t="n"/>
      <c r="J48" s="24" t="n"/>
      <c r="K48" s="24" t="n"/>
      <c r="L48" s="227">
        <f>L47</f>
        <v/>
      </c>
      <c r="M48" s="228" t="inlineStr">
        <is>
          <t>X</t>
        </is>
      </c>
      <c r="N48" s="118" t="n"/>
      <c r="O48" s="119" t="n"/>
      <c r="P48" s="25" t="n"/>
      <c r="Q48" s="25" t="n"/>
      <c r="R48" s="25" t="n"/>
      <c r="S48" s="25" t="n"/>
      <c r="T48" s="114" t="n"/>
      <c r="U48" s="25" t="n"/>
      <c r="V48" s="25" t="n"/>
      <c r="W48" s="25" t="n"/>
      <c r="X48" s="26" t="n"/>
      <c r="Y48" s="27" t="n"/>
      <c r="Z48" s="27" t="n"/>
      <c r="AA48" s="27" t="n"/>
      <c r="AB48" s="28" t="n"/>
      <c r="AC48" s="28" t="n"/>
      <c r="AD48" s="19" t="n"/>
    </row>
    <row r="49" outlineLevel="2" ht="43.5" customHeight="1" s="337">
      <c r="A49" s="212" t="inlineStr">
        <is>
          <t>A</t>
        </is>
      </c>
      <c r="B49" s="14" t="n"/>
      <c r="C49" s="62" t="n"/>
      <c r="D49" s="62" t="n"/>
      <c r="E49" s="62" t="n"/>
      <c r="F49" s="63" t="n"/>
      <c r="G49" s="15" t="inlineStr">
        <is>
          <t>Yes</t>
        </is>
      </c>
      <c r="H49" s="15" t="inlineStr">
        <is>
          <t>-</t>
        </is>
      </c>
      <c r="I49" s="16" t="inlineStr">
        <is>
          <t>-</t>
        </is>
      </c>
      <c r="J49" s="15" t="inlineStr">
        <is>
          <t>-</t>
        </is>
      </c>
      <c r="K49" s="30" t="n"/>
      <c r="L49" s="15" t="n"/>
      <c r="M49" s="229">
        <f>IFERROR(OFFSET(M49,-1,,1,1)+0.1,OFFSET(M49,-1,-1,1,1)&amp;".1")</f>
        <v/>
      </c>
      <c r="N49" s="16" t="inlineStr">
        <is>
          <t>Card Sorting (Optional)
&gt;&gt; Open + closed card sort with 10–12 participants
&gt;&gt; Validate category taxonomy against personas
&gt;&gt; Output: revised category structure for catalog navigation</t>
        </is>
      </c>
      <c r="O49" s="16" t="inlineStr">
        <is>
          <t>Participants</t>
        </is>
      </c>
      <c r="P49" s="16" t="n"/>
      <c r="Q49" s="100" t="n">
        <v>12</v>
      </c>
      <c r="R49" s="95" t="n"/>
      <c r="S49" s="230">
        <f>CEILING((IF(J49="Yes", 0, IF(H49="-",AA49,AA49+AA49*VLOOKUP(H49,BUFFERS_BY_TYPE,2,FALSE)))) +
   (IF(J49="Yes", 0, IF(H49="-",AA49,AA49+AA49*VLOOKUP(H49,BUFFERS_BY_TYPE,2,FALSE))))*VLOOKUP($S$5, SALES_CALL_SCALE_ARRAY, 2,FALSE),0.25)</f>
        <v/>
      </c>
      <c r="T49" s="116" t="n"/>
      <c r="U49" s="17" t="n">
        <v>0</v>
      </c>
      <c r="V49" s="17" t="n">
        <v>1</v>
      </c>
      <c r="W49" s="17" t="n">
        <v>0</v>
      </c>
      <c r="X49" s="115" t="n">
        <v>0.1</v>
      </c>
      <c r="Y49" s="230">
        <f>CEILING((IF(P49=AS_DEV_EFFORT, DEV_EFFORT*Q49%,
                           IF(P49=AS_DURATION_EFFORT, (MANUAL_DURATION*5)*Q49%,
                                    (IF(Q49&lt;=1,X49,
                                          IF(SUM(U49:W49)=0,(Q49*X49),
                                               (((Q49*U49)*(X49+(X49*EXTRA_FOR_H)))+
                                               ((Q49*V49)*X49)+
                                               ((Q49*W49)*(X49-(X49*LESS_FOR_L)))
                                    )*IF(R49=0,1,R49))))))+Z49), 0.25)</f>
        <v/>
      </c>
      <c r="Z49" s="18" t="n"/>
      <c r="AA49" s="230">
        <f>Y49+Y49*VLOOKUP(I49,EXTRAS_ARRAY,2,FALSE)</f>
        <v/>
      </c>
      <c r="AB49" s="16" t="inlineStr">
        <is>
          <t>Optional: card sorting with 12 participants × 0.1 = 1.2 PDs.</t>
        </is>
      </c>
      <c r="AC49" s="29" t="n"/>
      <c r="AD49" s="226">
        <f>IF(J49&lt;&gt;"Yes",
IF(S49&lt;=0,"Error: Effort value is not defined or is invalid.",
IF(AND(SUM(U49:W49)&gt;0,SUM(U49:W49)&lt;&gt;1),"Error: Complexity % distribution should sum to 100%.",
IF(AND(P49=AS_DEV_EFFORT,X49&lt;&gt;0),"Error: PDs should not be defined when defining as dev effort %.",
IF(AND(P49=AS_DURATION_EFFORT,X49&lt;&gt;0),"Error: PDs should not be defined when defining as duration effort %.","")))))</f>
        <v/>
      </c>
    </row>
    <row r="50" outlineLevel="2" ht="43.5" customHeight="1" s="337">
      <c r="A50" s="212" t="inlineStr">
        <is>
          <t>A</t>
        </is>
      </c>
      <c r="B50" s="14" t="n"/>
      <c r="C50" s="62" t="n"/>
      <c r="D50" s="62" t="n"/>
      <c r="E50" s="62" t="n"/>
      <c r="F50" s="63" t="n"/>
      <c r="G50" s="15" t="inlineStr">
        <is>
          <t>Yes</t>
        </is>
      </c>
      <c r="H50" s="15" t="inlineStr">
        <is>
          <t>-</t>
        </is>
      </c>
      <c r="I50" s="16" t="inlineStr">
        <is>
          <t>-</t>
        </is>
      </c>
      <c r="J50" s="15" t="inlineStr">
        <is>
          <t>-</t>
        </is>
      </c>
      <c r="K50" s="30" t="n"/>
      <c r="L50" s="15" t="n"/>
      <c r="M50" s="229">
        <f>IFERROR(OFFSET(M50,-1,,1,1)+0.1,OFFSET(M50,-1,-1,1,1)&amp;".1")</f>
        <v/>
      </c>
      <c r="N50" s="16" t="inlineStr">
        <is>
          <t>Create Site Map &amp; Content Inventory (Optional)
&gt;&gt; Full site map of marketing + storefront + account areas
&gt;&gt; Content inventory with owners, freshness and SEO targets
&gt;&gt; Mapping into Next.js App Router route tree</t>
        </is>
      </c>
      <c r="O50" s="16" t="inlineStr">
        <is>
          <t>Iterations</t>
        </is>
      </c>
      <c r="P50" s="16" t="n"/>
      <c r="Q50" s="100" t="n">
        <v>1</v>
      </c>
      <c r="R50" s="95" t="n"/>
      <c r="S50" s="230">
        <f>CEILING((IF(J50="Yes", 0, IF(H50="-",AA50,AA50+AA50*VLOOKUP(H50,BUFFERS_BY_TYPE,2,FALSE)))) +
(IF(J50="Yes", 0, IF(H50="-",AA50,AA50+AA50*VLOOKUP(H50,BUFFERS_BY_TYPE,2,FALSE))))*VLOOKUP($S$5, SALES_CALL_SCALE_ARRAY, 2,FALSE),0.25)</f>
        <v/>
      </c>
      <c r="T50" s="116" t="n"/>
      <c r="U50" s="17" t="n">
        <v>0</v>
      </c>
      <c r="V50" s="17" t="n">
        <v>1</v>
      </c>
      <c r="W50" s="17" t="n">
        <v>0</v>
      </c>
      <c r="X50" s="115" t="n">
        <v>2</v>
      </c>
      <c r="Y50" s="230">
        <f>CEILING((IF(P50=AS_DEV_EFFORT, DEV_EFFORT*Q50%,
IF(P50=AS_DURATION_EFFORT, (MANUAL_DURATION*5)*Q50%,
(IF(Q50&lt;=1,X50,
IF(SUM(U50:W50)=0,(Q50*X50),
(((Q50*U50)*(X50+(X50*EXTRA_FOR_H)))+
((Q50*V50)*X50)+
((Q50*W50)*(X50-(X50*LESS_FOR_L)))
)*IF(R50=0,1,R50))))))+Z50), 0.25)</f>
        <v/>
      </c>
      <c r="Z50" s="18" t="n"/>
      <c r="AA50" s="230">
        <f>Y50+Y50*VLOOKUP(I50,EXTRAS_ARRAY,2,FALSE)</f>
        <v/>
      </c>
      <c r="AB50" s="16" t="inlineStr">
        <is>
          <t>Optional: site map + content inventory (2 PDs).</t>
        </is>
      </c>
      <c r="AC50" s="29" t="n"/>
      <c r="AD50" s="226">
        <f>IF(J50&lt;&gt;"Yes",
IF(S50&lt;=0,"Error: Effort value is not defined or is invalid.",
IF(AND(SUM(U50:W50)&gt;0,SUM(U50:W50)&lt;&gt;1),"Error: Complexity % distribution should sum to 100%.",
IF(AND(P50=AS_DEV_EFFORT,X50&lt;&gt;0),"Error: PDs should not be defined when defining as dev effort %.",
IF(AND(P50=AS_DURATION_EFFORT,X50&lt;&gt;0),"Error: PDs should not be defined when defining as duration effort %.","")))))</f>
        <v/>
      </c>
    </row>
    <row r="51" outlineLevel="2" ht="43.5" customHeight="1" s="337">
      <c r="A51" s="212" t="inlineStr">
        <is>
          <t>A</t>
        </is>
      </c>
      <c r="B51" s="14" t="n"/>
      <c r="C51" s="62" t="n"/>
      <c r="D51" s="62" t="n"/>
      <c r="E51" s="62" t="n"/>
      <c r="F51" s="63" t="n"/>
      <c r="G51" s="15" t="inlineStr">
        <is>
          <t>Yes</t>
        </is>
      </c>
      <c r="H51" s="15" t="inlineStr">
        <is>
          <t>-</t>
        </is>
      </c>
      <c r="I51" s="16" t="inlineStr">
        <is>
          <t>-</t>
        </is>
      </c>
      <c r="J51" s="15" t="inlineStr">
        <is>
          <t>-</t>
        </is>
      </c>
      <c r="K51" s="30" t="n"/>
      <c r="L51" s="15" t="n"/>
      <c r="M51" s="229">
        <f>IFERROR(OFFSET(M51,-1,,1,1)+0.1,OFFSET(M51,-1,-1,1,1)&amp;".1")</f>
        <v/>
      </c>
      <c r="N51" s="16" t="inlineStr">
        <is>
          <t>R1: Preliminary Wireframes (4–5) (Optional)
&gt;&gt; Low-fidelity wireframes for the 14 storefront screens
&gt;&gt; Cover home, PDP, category, search, cart, checkout, confirmation
&gt;&gt; 3 review iterations with stakeholders</t>
        </is>
      </c>
      <c r="O51" s="16" t="inlineStr">
        <is>
          <t>Screens</t>
        </is>
      </c>
      <c r="P51" s="16" t="n"/>
      <c r="Q51" s="100" t="n">
        <v>14</v>
      </c>
      <c r="R51" s="95" t="n"/>
      <c r="S51" s="230">
        <f>CEILING((IF(J51="Yes", 0, IF(H51="-",AA51,AA51+AA51*VLOOKUP(H51,BUFFERS_BY_TYPE,2,FALSE)))) +
(IF(J51="Yes", 0, IF(H51="-",AA51,AA51+AA51*VLOOKUP(H51,BUFFERS_BY_TYPE,2,FALSE))))*VLOOKUP($S$5, SALES_CALL_SCALE_ARRAY, 2,FALSE),0.25)</f>
        <v/>
      </c>
      <c r="T51" s="116" t="n"/>
      <c r="U51" s="17" t="n">
        <v>0</v>
      </c>
      <c r="V51" s="17" t="n">
        <v>1</v>
      </c>
      <c r="W51" s="17" t="n">
        <v>0</v>
      </c>
      <c r="X51" s="115" t="n">
        <v>0.5</v>
      </c>
      <c r="Y51" s="230">
        <f>CEILING((IF(P51=AS_DEV_EFFORT, DEV_EFFORT*Q51%,
IF(P51=AS_DURATION_EFFORT, (MANUAL_DURATION*5)*Q51%,
(IF(Q51&lt;=1,X51,
IF(SUM(U51:W51)=0,(Q51*X51),
(((Q51*U51)*(X51+(X51*EXTRA_FOR_H)))+
((Q51*V51)*X51)+
((Q51*W51)*(X51-(X51*LESS_FOR_L)))
)*IF(R51=0,1,R51))))))+Z51), 0.25)</f>
        <v/>
      </c>
      <c r="Z51" s="18" t="n"/>
      <c r="AA51" s="230">
        <f>Y51+Y51*VLOOKUP(I51,EXTRAS_ARRAY,2,FALSE)</f>
        <v/>
      </c>
      <c r="AB51" s="16" t="inlineStr">
        <is>
          <t>Optional: preliminary wireframes for the 14 screens × 0.5 PD = 7 PDs.</t>
        </is>
      </c>
      <c r="AC51" s="29" t="n"/>
      <c r="AD51" s="226">
        <f>IF(J51&lt;&gt;"Yes",
IF(S51&lt;=0,"Error: Effort value is not defined or is invalid.",
IF(AND(SUM(U51:W51)&gt;0,SUM(U51:W51)&lt;&gt;1),"Error: Complexity % distribution should sum to 100%.",
IF(AND(P51=AS_DEV_EFFORT,X51&lt;&gt;0),"Error: PDs should not be defined when defining as dev effort %.",
IF(AND(P51=AS_DURATION_EFFORT,X51&lt;&gt;0),"Error: PDs should not be defined when defining as duration effort %.","")))))</f>
        <v/>
      </c>
    </row>
    <row r="52" outlineLevel="2" ht="43.5" customHeight="1" s="337">
      <c r="A52" s="212" t="inlineStr">
        <is>
          <t>A</t>
        </is>
      </c>
      <c r="B52" s="14" t="n"/>
      <c r="C52" s="62" t="n"/>
      <c r="D52" s="62" t="n"/>
      <c r="E52" s="62" t="n"/>
      <c r="F52" s="63" t="n"/>
      <c r="G52" s="15" t="inlineStr">
        <is>
          <t>Yes</t>
        </is>
      </c>
      <c r="H52" s="15" t="inlineStr">
        <is>
          <t>-</t>
        </is>
      </c>
      <c r="I52" s="16" t="inlineStr">
        <is>
          <t>-</t>
        </is>
      </c>
      <c r="J52" s="15" t="inlineStr">
        <is>
          <t>-</t>
        </is>
      </c>
      <c r="K52" s="30" t="n"/>
      <c r="L52" s="15" t="n"/>
      <c r="M52" s="229">
        <f>IFERROR(OFFSET(M52,-1,,1,1)+0.1,OFFSET(M52,-1,-1,1,1)&amp;".1")</f>
        <v/>
      </c>
      <c r="N52" s="16" t="inlineStr">
        <is>
          <t>Reverse Card Sort (Optional)
&gt;&gt; Validate proposed IA with 10 participants
&gt;&gt; Test findability of top tasks: search a product, redeem coupon, view order
&gt;&gt; Iterate IA based on success metrics</t>
        </is>
      </c>
      <c r="O52" s="16" t="inlineStr">
        <is>
          <t>Participants</t>
        </is>
      </c>
      <c r="P52" s="16" t="n"/>
      <c r="Q52" s="100" t="n">
        <v>10</v>
      </c>
      <c r="R52" s="95" t="n"/>
      <c r="S52" s="230">
        <f>CEILING((IF(J52="Yes", 0, IF(H52="-",AA52,AA52+AA52*VLOOKUP(H52,BUFFERS_BY_TYPE,2,FALSE)))) +
(IF(J52="Yes", 0, IF(H52="-",AA52,AA52+AA52*VLOOKUP(H52,BUFFERS_BY_TYPE,2,FALSE))))*VLOOKUP($S$5, SALES_CALL_SCALE_ARRAY, 2,FALSE),0.25)</f>
        <v/>
      </c>
      <c r="T52" s="116" t="n"/>
      <c r="U52" s="17" t="n">
        <v>0</v>
      </c>
      <c r="V52" s="17" t="n">
        <v>1</v>
      </c>
      <c r="W52" s="17" t="n">
        <v>0</v>
      </c>
      <c r="X52" s="115" t="n">
        <v>0.1</v>
      </c>
      <c r="Y52" s="230">
        <f>CEILING((IF(P52=AS_DEV_EFFORT, DEV_EFFORT*Q52%,
IF(P52=AS_DURATION_EFFORT, (MANUAL_DURATION*5)*Q52%,
(IF(Q52&lt;=1,X52,
IF(SUM(U52:W52)=0,(Q52*X52),
(((Q52*U52)*(X52+(X52*EXTRA_FOR_H)))+
((Q52*V52)*X52)+
((Q52*W52)*(X52-(X52*LESS_FOR_L)))
)*IF(R52=0,1,R52))))))+Z52), 0.25)</f>
        <v/>
      </c>
      <c r="Z52" s="18" t="n"/>
      <c r="AA52" s="230">
        <f>Y52+Y52*VLOOKUP(I52,EXTRAS_ARRAY,2,FALSE)</f>
        <v/>
      </c>
      <c r="AB52" s="16" t="inlineStr">
        <is>
          <t>Optional: reverse card sort with 10 participants × 0.1 = 1 PD.</t>
        </is>
      </c>
      <c r="AC52" s="29" t="n"/>
      <c r="AD52" s="226">
        <f>IF(J52&lt;&gt;"Yes",
IF(S52&lt;=0,"Error: Effort value is not defined or is invalid.",
IF(AND(SUM(U52:W52)&gt;0,SUM(U52:W52)&lt;&gt;1),"Error: Complexity % distribution should sum to 100%.",
IF(AND(P52=AS_DEV_EFFORT,X52&lt;&gt;0),"Error: PDs should not be defined when defining as dev effort %.",
IF(AND(P52=AS_DURATION_EFFORT,X52&lt;&gt;0),"Error: PDs should not be defined when defining as duration effort %.","")))))</f>
        <v/>
      </c>
    </row>
    <row r="53" outlineLevel="2" ht="43.5" customHeight="1" s="337">
      <c r="A53" s="212" t="inlineStr">
        <is>
          <t>A</t>
        </is>
      </c>
      <c r="B53" s="14" t="n"/>
      <c r="C53" s="62" t="n"/>
      <c r="D53" s="62" t="n"/>
      <c r="E53" s="62" t="n"/>
      <c r="F53" s="63" t="n"/>
      <c r="G53" s="15" t="inlineStr">
        <is>
          <t>Yes</t>
        </is>
      </c>
      <c r="H53" s="15" t="inlineStr">
        <is>
          <t>-</t>
        </is>
      </c>
      <c r="I53" s="16" t="inlineStr">
        <is>
          <t>-</t>
        </is>
      </c>
      <c r="J53" s="15" t="inlineStr">
        <is>
          <t>-</t>
        </is>
      </c>
      <c r="K53" s="30" t="n"/>
      <c r="L53" s="15" t="n"/>
      <c r="M53" s="229">
        <f>IFERROR(OFFSET(M53,-1,,1,1)+0.1,OFFSET(M53,-1,-1,1,1)&amp;".1")</f>
        <v/>
      </c>
      <c r="N53" s="16" t="inlineStr">
        <is>
          <t>R2: Detailed Wireframes + Interaction Tables (15–20) (Optional)
&gt;&gt; High-fidelity wireframes with interaction tables
&gt;&gt; States: loading, empty, error, success per key surface
&gt;&gt; Hand-off package ready for visual design</t>
        </is>
      </c>
      <c r="O53" s="16" t="inlineStr">
        <is>
          <t>Screens</t>
        </is>
      </c>
      <c r="P53" s="16" t="n"/>
      <c r="Q53" s="100" t="n">
        <v>14</v>
      </c>
      <c r="R53" s="95" t="n"/>
      <c r="S53" s="230">
        <f>CEILING((IF(J53="Yes", 0, IF(H53="-",AA53,AA53+AA53*VLOOKUP(H53,BUFFERS_BY_TYPE,2,FALSE)))) +
(IF(J53="Yes", 0, IF(H53="-",AA53,AA53+AA53*VLOOKUP(H53,BUFFERS_BY_TYPE,2,FALSE))))*VLOOKUP($S$5, SALES_CALL_SCALE_ARRAY, 2,FALSE),0.25)</f>
        <v/>
      </c>
      <c r="T53" s="116" t="n"/>
      <c r="U53" s="17" t="n">
        <v>0</v>
      </c>
      <c r="V53" s="17" t="n">
        <v>1</v>
      </c>
      <c r="W53" s="17" t="n">
        <v>0</v>
      </c>
      <c r="X53" s="115" t="n">
        <v>0.75</v>
      </c>
      <c r="Y53" s="230">
        <f>CEILING((IF(P53=AS_DEV_EFFORT, DEV_EFFORT*Q53%,
IF(P53=AS_DURATION_EFFORT, (MANUAL_DURATION*5)*Q53%,
(IF(Q53&lt;=1,X53,
IF(SUM(U53:W53)=0,(Q53*X53),
(((Q53*U53)*(X53+(X53*EXTRA_FOR_H)))+
((Q53*V53)*X53)+
((Q53*W53)*(X53-(X53*LESS_FOR_L)))
)*IF(R53=0,1,R53))))))+Z53), 0.25)</f>
        <v/>
      </c>
      <c r="Z53" s="18" t="n"/>
      <c r="AA53" s="230">
        <f>Y53+Y53*VLOOKUP(I53,EXTRAS_ARRAY,2,FALSE)</f>
        <v/>
      </c>
      <c r="AB53" s="16" t="inlineStr">
        <is>
          <t>Optional: detailed wireframes for 14 screens × 0.75 PD = 10.5 PDs.</t>
        </is>
      </c>
      <c r="AC53" s="29" t="n"/>
      <c r="AD53" s="226">
        <f>IF(J53&lt;&gt;"Yes",
IF(S53&lt;=0,"Error: Effort value is not defined or is invalid.",
IF(AND(SUM(U53:W53)&gt;0,SUM(U53:W53)&lt;&gt;1),"Error: Complexity % distribution should sum to 100%.",
IF(AND(P53=AS_DEV_EFFORT,X53&lt;&gt;0),"Error: PDs should not be defined when defining as dev effort %.",
IF(AND(P53=AS_DURATION_EFFORT,X53&lt;&gt;0),"Error: PDs should not be defined when defining as duration effort %.","")))))</f>
        <v/>
      </c>
    </row>
    <row r="54" outlineLevel="2" ht="43.5" customHeight="1" s="337">
      <c r="A54" s="212" t="inlineStr">
        <is>
          <t>A</t>
        </is>
      </c>
      <c r="B54" s="14" t="n"/>
      <c r="C54" s="62" t="n"/>
      <c r="D54" s="62" t="n"/>
      <c r="E54" s="62" t="n"/>
      <c r="F54" s="63" t="n"/>
      <c r="G54" s="15" t="inlineStr">
        <is>
          <t>Yes</t>
        </is>
      </c>
      <c r="H54" s="15" t="inlineStr">
        <is>
          <t>-</t>
        </is>
      </c>
      <c r="I54" s="16" t="inlineStr">
        <is>
          <t>-</t>
        </is>
      </c>
      <c r="J54" s="15" t="inlineStr">
        <is>
          <t>-</t>
        </is>
      </c>
      <c r="K54" s="30" t="n"/>
      <c r="L54" s="15" t="n"/>
      <c r="M54" s="229">
        <f>IFERROR(OFFSET(M54,-1,,1,1)+0.1,OFFSET(M54,-1,-1,1,1)&amp;".1")</f>
        <v/>
      </c>
      <c r="N54" s="16" t="inlineStr">
        <is>
          <t>Review and Sign-off (Optional)
&gt;&gt; Client review iterations and sign-off on final wireframes
&gt;&gt; Hand-off to visual design + engineering kickoff
&gt;&gt; Update traceability matrix with IA decisions</t>
        </is>
      </c>
      <c r="O54" s="16" t="inlineStr">
        <is>
          <t>Iterations</t>
        </is>
      </c>
      <c r="P54" s="16" t="n"/>
      <c r="Q54" s="100" t="n">
        <v>2</v>
      </c>
      <c r="R54" s="95" t="n"/>
      <c r="S54" s="230">
        <f>CEILING((IF(J54="Yes", 0, IF(H54="-",AA54,AA54+AA54*VLOOKUP(H54,BUFFERS_BY_TYPE,2,FALSE)))) +
(IF(J54="Yes", 0, IF(H54="-",AA54,AA54+AA54*VLOOKUP(H54,BUFFERS_BY_TYPE,2,FALSE))))*VLOOKUP($S$5, SALES_CALL_SCALE_ARRAY, 2,FALSE),0.25)</f>
        <v/>
      </c>
      <c r="T54" s="116" t="n"/>
      <c r="U54" s="17" t="n">
        <v>0</v>
      </c>
      <c r="V54" s="17" t="n">
        <v>1</v>
      </c>
      <c r="W54" s="17" t="n">
        <v>0</v>
      </c>
      <c r="X54" s="115" t="n">
        <v>1</v>
      </c>
      <c r="Y54" s="230">
        <f>CEILING((IF(P54=AS_DEV_EFFORT, DEV_EFFORT*Q54%,
IF(P54=AS_DURATION_EFFORT, (MANUAL_DURATION*5)*Q54%,
(IF(Q54&lt;=1,X54,
IF(SUM(U54:W54)=0,(Q54*X54),
(((Q54*U54)*(X54+(X54*EXTRA_FOR_H)))+
((Q54*V54)*X54)+
((Q54*W54)*(X54-(X54*LESS_FOR_L)))
)*IF(R54=0,1,R54))))))+Z54), 0.25)</f>
        <v/>
      </c>
      <c r="Z54" s="18" t="n"/>
      <c r="AA54" s="230">
        <f>Y54+Y54*VLOOKUP(I54,EXTRAS_ARRAY,2,FALSE)</f>
        <v/>
      </c>
      <c r="AB54" s="16" t="inlineStr">
        <is>
          <t>Optional: IA review iterations × 2 = 2 PDs.</t>
        </is>
      </c>
      <c r="AC54" s="29" t="n"/>
      <c r="AD54" s="226">
        <f>IF(J54&lt;&gt;"Yes",
IF(S54&lt;=0,"Error: Effort value is not defined or is invalid.",
IF(AND(SUM(U54:W54)&gt;0,SUM(U54:W54)&lt;&gt;1),"Error: Complexity % distribution should sum to 100%.",
IF(AND(P54=AS_DEV_EFFORT,X54&lt;&gt;0),"Error: PDs should not be defined when defining as dev effort %.",
IF(AND(P54=AS_DURATION_EFFORT,X54&lt;&gt;0),"Error: PDs should not be defined when defining as duration effort %.","")))))</f>
        <v/>
      </c>
    </row>
    <row r="55" outlineLevel="2" ht="7.5" customFormat="1" customHeight="1" s="294">
      <c r="A55" s="212" t="inlineStr">
        <is>
          <t>T3</t>
        </is>
      </c>
      <c r="B55" s="12" t="n"/>
      <c r="C55" s="56" t="n"/>
      <c r="D55" s="56" t="n"/>
      <c r="E55" s="56" t="n"/>
      <c r="F55" s="56" t="n"/>
      <c r="M55" s="180" t="n"/>
      <c r="T55" s="12" t="n"/>
      <c r="X55" s="12" t="n"/>
      <c r="AB55" s="7" t="n"/>
      <c r="AC55" s="7" t="n"/>
      <c r="AD55" s="7" t="n"/>
    </row>
    <row r="56" outlineLevel="1" ht="15.5" customFormat="1" customHeight="1" s="298">
      <c r="A56" s="212" t="inlineStr">
        <is>
          <t>T1</t>
        </is>
      </c>
      <c r="B56" s="14" t="n"/>
      <c r="C56" s="61" t="n"/>
      <c r="D56" s="61" t="n"/>
      <c r="E56" s="61" t="n"/>
      <c r="F56" s="60" t="n"/>
      <c r="G56" s="24" t="n"/>
      <c r="H56" s="24" t="n"/>
      <c r="I56" s="24" t="n"/>
      <c r="J56" s="24" t="n"/>
      <c r="K56" s="24" t="n"/>
      <c r="L56" s="223">
        <f>LOOKUP(1000,INDIRECT("L1:"&amp;CELL("address",INDIRECT("R[-1]C",FALSE))))+1</f>
        <v/>
      </c>
      <c r="M56" s="301" t="inlineStr">
        <is>
          <t>Prototyping Visual designs</t>
        </is>
      </c>
      <c r="N56" s="302" t="n"/>
      <c r="O56" s="4" t="n"/>
      <c r="P56" s="25" t="n"/>
      <c r="Q56" s="25" t="n"/>
      <c r="R56" s="25" t="n"/>
      <c r="S56" s="25" t="n"/>
      <c r="T56" s="225">
        <f>IF($S$6="Exclude", SUMIFS(S57:S63, J57:J63, "&lt;&gt;Yes", G57:G63, "&lt;&gt;Yes"), SUMIFS(S57:S63, J57:J63, "&lt;&gt;Yes"))</f>
        <v/>
      </c>
      <c r="U56" s="25" t="n"/>
      <c r="V56" s="25" t="n"/>
      <c r="W56" s="25" t="n"/>
      <c r="X56" s="26" t="n"/>
      <c r="Y56" s="27" t="n"/>
      <c r="Z56" s="27" t="n"/>
      <c r="AA56" s="27" t="n"/>
      <c r="AB56" s="155" t="n"/>
      <c r="AC56" s="28" t="n"/>
      <c r="AD56" s="226">
        <f>IF(M56="", "Error: Task name cannot be empty.", "")</f>
        <v/>
      </c>
    </row>
    <row r="57" outlineLevel="2" ht="1.5" customFormat="1" customHeight="1" s="9">
      <c r="A57" s="212" t="inlineStr">
        <is>
          <t>T2</t>
        </is>
      </c>
      <c r="B57" s="14" t="n"/>
      <c r="C57" s="61" t="n"/>
      <c r="D57" s="61" t="n"/>
      <c r="E57" s="61" t="n"/>
      <c r="F57" s="60" t="n"/>
      <c r="G57" s="24" t="n"/>
      <c r="H57" s="24" t="n"/>
      <c r="I57" s="24" t="n"/>
      <c r="J57" s="24" t="n"/>
      <c r="K57" s="24" t="n"/>
      <c r="L57" s="227">
        <f>L56</f>
        <v/>
      </c>
      <c r="M57" s="228" t="inlineStr">
        <is>
          <t>X</t>
        </is>
      </c>
      <c r="N57" s="118" t="n"/>
      <c r="O57" s="119" t="n"/>
      <c r="P57" s="25" t="n"/>
      <c r="Q57" s="25" t="n"/>
      <c r="R57" s="25" t="n"/>
      <c r="S57" s="25" t="n"/>
      <c r="T57" s="114" t="n"/>
      <c r="U57" s="25" t="n"/>
      <c r="V57" s="25" t="n"/>
      <c r="W57" s="25" t="n"/>
      <c r="X57" s="26" t="n"/>
      <c r="Y57" s="27" t="n"/>
      <c r="Z57" s="27" t="n"/>
      <c r="AA57" s="27" t="n"/>
      <c r="AB57" s="28" t="n"/>
      <c r="AC57" s="28" t="n"/>
      <c r="AD57" s="19" t="n"/>
    </row>
    <row r="58" outlineLevel="2" ht="43.5" customHeight="1" s="337">
      <c r="A58" s="212" t="inlineStr">
        <is>
          <t>A</t>
        </is>
      </c>
      <c r="B58" s="14" t="n"/>
      <c r="C58" s="62" t="n"/>
      <c r="D58" s="62" t="n"/>
      <c r="E58" s="62" t="n"/>
      <c r="F58" s="63" t="n"/>
      <c r="G58" s="15" t="inlineStr">
        <is>
          <t>-</t>
        </is>
      </c>
      <c r="H58" s="15" t="inlineStr">
        <is>
          <t>-</t>
        </is>
      </c>
      <c r="I58" s="16" t="inlineStr">
        <is>
          <t>-</t>
        </is>
      </c>
      <c r="J58" s="15" t="inlineStr">
        <is>
          <t>-</t>
        </is>
      </c>
      <c r="K58" s="30" t="n"/>
      <c r="L58" s="15" t="n"/>
      <c r="M58" s="229">
        <f>IFERROR(OFFSET(M58,-1,,1,1)+0.1,OFFSET(M58,-1,-1,1,1)&amp;".1")</f>
        <v/>
      </c>
      <c r="N58" s="16" t="inlineStr">
        <is>
          <t>Create Preliminary Visual Design Compositions (3-4 templates)</t>
        </is>
      </c>
      <c r="O58" s="16" t="inlineStr">
        <is>
          <t>Templates</t>
        </is>
      </c>
      <c r="P58" s="16" t="n"/>
      <c r="Q58" s="100" t="n">
        <v>4</v>
      </c>
      <c r="R58" s="95" t="n"/>
      <c r="S58" s="230">
        <f>CEILING((IF(J58="Yes", 0, IF(H58="-",AA58,AA58+AA58*VLOOKUP(H58,BUFFERS_BY_TYPE,2,FALSE)))) +
   (IF(J58="Yes", 0, IF(H58="-",AA58,AA58+AA58*VLOOKUP(H58,BUFFERS_BY_TYPE,2,FALSE))))*VLOOKUP($S$5, SALES_CALL_SCALE_ARRAY, 2,FALSE),0.25)</f>
        <v/>
      </c>
      <c r="T58" s="116" t="n"/>
      <c r="U58" s="17" t="n">
        <v>0</v>
      </c>
      <c r="V58" s="17" t="n">
        <v>1</v>
      </c>
      <c r="W58" s="17" t="n">
        <v>0</v>
      </c>
      <c r="X58" s="115" t="n">
        <v>1.5</v>
      </c>
      <c r="Y58" s="230">
        <f>CEILING((IF(P58=AS_DEV_EFFORT, DEV_EFFORT*Q58%,
                           IF(P58=AS_DURATION_EFFORT, (MANUAL_DURATION*5)*Q58%,
                                    (IF(Q58&lt;=1,X58,
                                          IF(SUM(U58:W58)=0,(Q58*X58),
                                               (((Q58*U58)*(X58+(X58*EXTRA_FOR_H)))+
                                               ((Q58*V58)*X58)+
                                               ((Q58*W58)*(X58-(X58*LESS_FOR_L)))
                                    )*IF(R58=0,1,R58))))))+Z58), 0.25)</f>
        <v/>
      </c>
      <c r="Z58" s="18" t="n"/>
      <c r="AA58" s="230">
        <f>Y58+Y58*VLOOKUP(I58,EXTRAS_ARRAY,2,FALSE)</f>
        <v/>
      </c>
      <c r="AB58" s="16" t="inlineStr">
        <is>
          <t>4 design templates × 1.5 PD = 6 PDs: home/landing, PDP, category/search, checkout/cart.</t>
        </is>
      </c>
      <c r="AC58" s="29" t="n"/>
      <c r="AD58" s="226">
        <f>IF(J58&lt;&gt;"Yes",
IF(S58&lt;=0,"Error: Effort value is not defined or is invalid.",
IF(AND(SUM(U58:W58)&gt;0,SUM(U58:W58)&lt;&gt;1),"Error: Complexity % distribution should sum to 100%.",
IF(AND(P58=AS_DEV_EFFORT,X58&lt;&gt;0),"Error: PDs should not be defined when defining as dev effort %.",
IF(AND(P58=AS_DURATION_EFFORT,X58&lt;&gt;0),"Error: PDs should not be defined when defining as duration effort %.","")))))</f>
        <v/>
      </c>
    </row>
    <row r="59" outlineLevel="2" ht="43.5" customHeight="1" s="337">
      <c r="A59" s="212" t="inlineStr">
        <is>
          <t>A</t>
        </is>
      </c>
      <c r="B59" s="14" t="n"/>
      <c r="C59" s="62" t="n"/>
      <c r="D59" s="62" t="n"/>
      <c r="E59" s="62" t="n"/>
      <c r="F59" s="63" t="n"/>
      <c r="G59" s="15" t="inlineStr">
        <is>
          <t>-</t>
        </is>
      </c>
      <c r="H59" s="15" t="inlineStr">
        <is>
          <t>-</t>
        </is>
      </c>
      <c r="I59" s="16" t="inlineStr">
        <is>
          <t>-</t>
        </is>
      </c>
      <c r="J59" s="15" t="inlineStr">
        <is>
          <t>-</t>
        </is>
      </c>
      <c r="K59" s="30" t="n"/>
      <c r="L59" s="15" t="n"/>
      <c r="M59" s="229">
        <f>IFERROR(OFFSET(M59,-1,,1,1)+0.1,OFFSET(M59,-1,-1,1,1)&amp;".1")</f>
        <v/>
      </c>
      <c r="N59" s="16" t="inlineStr">
        <is>
          <t>Create Click through mockups</t>
        </is>
      </c>
      <c r="O59" s="16" t="inlineStr">
        <is>
          <t>Templates</t>
        </is>
      </c>
      <c r="P59" s="16" t="n"/>
      <c r="Q59" s="100" t="n">
        <v>4</v>
      </c>
      <c r="R59" s="95" t="n"/>
      <c r="S59" s="230">
        <f>CEILING((IF(J59="Yes", 0, IF(H59="-",AA59,AA59+AA59*VLOOKUP(H59,BUFFERS_BY_TYPE,2,FALSE)))) +
   (IF(J59="Yes", 0, IF(H59="-",AA59,AA59+AA59*VLOOKUP(H59,BUFFERS_BY_TYPE,2,FALSE))))*VLOOKUP($S$5, SALES_CALL_SCALE_ARRAY, 2,FALSE),0.25)</f>
        <v/>
      </c>
      <c r="T59" s="116" t="n"/>
      <c r="U59" s="17" t="n">
        <v>0</v>
      </c>
      <c r="V59" s="17" t="n">
        <v>1</v>
      </c>
      <c r="W59" s="17" t="n">
        <v>0</v>
      </c>
      <c r="X59" s="115" t="n">
        <v>0.75</v>
      </c>
      <c r="Y59" s="230">
        <f>CEILING((IF(P59=AS_DEV_EFFORT, DEV_EFFORT*Q59%,
                           IF(P59=AS_DURATION_EFFORT, (MANUAL_DURATION*5)*Q59%,
                                    (IF(Q59&lt;=1,X59,
                                          IF(SUM(U59:W59)=0,(Q59*X59),
                                               (((Q59*U59)*(X59+(X59*EXTRA_FOR_H)))+
                                               ((Q59*V59)*X59)+
                                               ((Q59*W59)*(X59-(X59*LESS_FOR_L)))
                                    )*IF(R59=0,1,R59))))))+Z59), 0.25)</f>
        <v/>
      </c>
      <c r="Z59" s="18" t="n"/>
      <c r="AA59" s="230">
        <f>Y59+Y59*VLOOKUP(I59,EXTRAS_ARRAY,2,FALSE)</f>
        <v/>
      </c>
      <c r="AB59" s="16" t="inlineStr">
        <is>
          <t>Click-through mockups for the 4 templates × 0.75 PD = 3 PDs.</t>
        </is>
      </c>
      <c r="AC59" s="29" t="n"/>
      <c r="AD59" s="226">
        <f>IF(J59&lt;&gt;"Yes",
IF(S59&lt;=0,"Error: Effort value is not defined or is invalid.",
IF(AND(SUM(U59:W59)&gt;0,SUM(U59:W59)&lt;&gt;1),"Error: Complexity % distribution should sum to 100%.",
IF(AND(P59=AS_DEV_EFFORT,X59&lt;&gt;0),"Error: PDs should not be defined when defining as dev effort %.",
IF(AND(P59=AS_DURATION_EFFORT,X59&lt;&gt;0),"Error: PDs should not be defined when defining as duration effort %.","")))))</f>
        <v/>
      </c>
    </row>
    <row r="60" outlineLevel="2" ht="43.5" customHeight="1" s="337">
      <c r="A60" s="212" t="inlineStr">
        <is>
          <t>A</t>
        </is>
      </c>
      <c r="B60" s="14" t="n"/>
      <c r="C60" s="62" t="n"/>
      <c r="D60" s="62" t="n"/>
      <c r="E60" s="62" t="n"/>
      <c r="F60" s="63" t="n"/>
      <c r="G60" s="15" t="inlineStr">
        <is>
          <t>-</t>
        </is>
      </c>
      <c r="H60" s="15" t="inlineStr">
        <is>
          <t>-</t>
        </is>
      </c>
      <c r="I60" s="16" t="inlineStr">
        <is>
          <t>-</t>
        </is>
      </c>
      <c r="J60" s="15" t="inlineStr">
        <is>
          <t>-</t>
        </is>
      </c>
      <c r="K60" s="30" t="n"/>
      <c r="L60" s="15" t="n"/>
      <c r="M60" s="229">
        <f>IFERROR(OFFSET(M60,-1,,1,1)+0.1,OFFSET(M60,-1,-1,1,1)&amp;".1")</f>
        <v/>
      </c>
      <c r="N60" s="16" t="inlineStr">
        <is>
          <t>Click thorugh mockups using Axure</t>
        </is>
      </c>
      <c r="O60" s="16" t="inlineStr">
        <is>
          <t>Mockups</t>
        </is>
      </c>
      <c r="P60" s="16" t="n"/>
      <c r="Q60" s="100" t="n">
        <v>4</v>
      </c>
      <c r="R60" s="95" t="n"/>
      <c r="S60" s="230">
        <f>CEILING((IF(J60="Yes", 0, IF(H60="-",AA60,AA60+AA60*VLOOKUP(H60,BUFFERS_BY_TYPE,2,FALSE)))) +
   (IF(J60="Yes", 0, IF(H60="-",AA60,AA60+AA60*VLOOKUP(H60,BUFFERS_BY_TYPE,2,FALSE))))*VLOOKUP($S$5, SALES_CALL_SCALE_ARRAY, 2,FALSE),0.25)</f>
        <v/>
      </c>
      <c r="T60" s="116" t="n"/>
      <c r="U60" s="17" t="n">
        <v>0</v>
      </c>
      <c r="V60" s="17" t="n">
        <v>1</v>
      </c>
      <c r="W60" s="17" t="n">
        <v>0</v>
      </c>
      <c r="X60" s="115" t="n">
        <v>0.5</v>
      </c>
      <c r="Y60" s="230">
        <f>CEILING((IF(P60=AS_DEV_EFFORT, DEV_EFFORT*Q60%,
                           IF(P60=AS_DURATION_EFFORT, (MANUAL_DURATION*5)*Q60%,
                                    (IF(Q60&lt;=1,X60,
                                          IF(SUM(U60:W60)=0,(Q60*X60),
                                               (((Q60*U60)*(X60+(X60*EXTRA_FOR_H)))+
                                               ((Q60*V60)*X60)+
                                               ((Q60*W60)*(X60-(X60*LESS_FOR_L)))
                                    )*IF(R60=0,1,R60))))))+Z60), 0.25)</f>
        <v/>
      </c>
      <c r="Z60" s="18" t="n"/>
      <c r="AA60" s="230">
        <f>Y60+Y60*VLOOKUP(I60,EXTRAS_ARRAY,2,FALSE)</f>
        <v/>
      </c>
      <c r="AB60" s="16" t="inlineStr">
        <is>
          <t>4 mockups in Figma × 0.5 PD = 2 PDs (no Axure).</t>
        </is>
      </c>
      <c r="AC60" s="29" t="n"/>
      <c r="AD60" s="226">
        <f>IF(J60&lt;&gt;"Yes",
IF(S60&lt;=0,"Error: Effort value is not defined or is invalid.",
IF(AND(SUM(U60:W60)&gt;0,SUM(U60:W60)&lt;&gt;1),"Error: Complexity % distribution should sum to 100%.",
IF(AND(P60=AS_DEV_EFFORT,X60&lt;&gt;0),"Error: PDs should not be defined when defining as dev effort %.",
IF(AND(P60=AS_DURATION_EFFORT,X60&lt;&gt;0),"Error: PDs should not be defined when defining as duration effort %.","")))))</f>
        <v/>
      </c>
    </row>
    <row r="61" outlineLevel="2" ht="43.5" customHeight="1" s="337">
      <c r="A61" s="212" t="inlineStr">
        <is>
          <t>A</t>
        </is>
      </c>
      <c r="B61" s="14" t="n"/>
      <c r="C61" s="62" t="n"/>
      <c r="D61" s="62" t="n"/>
      <c r="E61" s="62" t="n"/>
      <c r="F61" s="63" t="n"/>
      <c r="G61" s="15" t="inlineStr">
        <is>
          <t>Yes</t>
        </is>
      </c>
      <c r="H61" s="15" t="inlineStr">
        <is>
          <t>-</t>
        </is>
      </c>
      <c r="I61" s="16" t="inlineStr">
        <is>
          <t>-</t>
        </is>
      </c>
      <c r="J61" s="15" t="inlineStr">
        <is>
          <t>-</t>
        </is>
      </c>
      <c r="K61" s="30" t="n"/>
      <c r="L61" s="15" t="n"/>
      <c r="M61" s="229">
        <f>IFERROR(OFFSET(M61,-1,,1,1)+0.1,OFFSET(M61,-1,-1,1,1)&amp;".1")</f>
        <v/>
      </c>
      <c r="N61" s="16" t="inlineStr">
        <is>
          <t>Usability Testing</t>
        </is>
      </c>
      <c r="O61" s="16" t="inlineStr">
        <is>
          <t>% of the Use cases</t>
        </is>
      </c>
      <c r="P61" s="179" t="n">
        <v>0.02</v>
      </c>
      <c r="Q61" s="100">
        <f>Total_Use_Cases * P61</f>
        <v/>
      </c>
      <c r="R61" s="95" t="n"/>
      <c r="S61" s="230">
        <f>CEILING((IF(J61="Yes", 0, IF(H61="-",AA61,AA61+AA61*VLOOKUP(H61,BUFFERS_BY_TYPE,2,FALSE)))) +
   (IF(J61="Yes", 0, IF(H61="-",AA61,AA61+AA61*VLOOKUP(H61,BUFFERS_BY_TYPE,2,FALSE))))*VLOOKUP($S$5, SALES_CALL_SCALE_ARRAY, 2,FALSE),0.25)</f>
        <v/>
      </c>
      <c r="T61" s="116" t="n"/>
      <c r="U61" s="17" t="n">
        <v>0</v>
      </c>
      <c r="V61" s="17" t="n">
        <v>1</v>
      </c>
      <c r="W61" s="17" t="n">
        <v>0</v>
      </c>
      <c r="X61" s="115" t="n">
        <v>1</v>
      </c>
      <c r="Y61" s="230">
        <f>CEILING((IF(P61=AS_DEV_EFFORT, DEV_EFFORT*Q61%,
                           IF(P61=AS_DURATION_EFFORT, (MANUAL_DURATION*5)*Q61%,
                                    (IF(Q61&lt;=1,X61,
                                          IF(SUM(U61:W61)=0,(Q61*X61),
                                               (((Q61*U61)*(X61+(X61*EXTRA_FOR_H)))+
                                               ((Q61*V61)*X61)+
                                               ((Q61*W61)*(X61-(X61*LESS_FOR_L)))
                                    )*IF(R61=0,1,R61))))))+Z61), 0.25)</f>
        <v/>
      </c>
      <c r="Z61" s="18" t="n"/>
      <c r="AA61" s="230">
        <f>Y61+Y61*VLOOKUP(I61,EXTRAS_ARRAY,2,FALSE)</f>
        <v/>
      </c>
      <c r="AB61" s="16" t="inlineStr">
        <is>
          <t>Optional: usability testing on ~2% of use cases (≈1.5 use cases × 1 PD).</t>
        </is>
      </c>
      <c r="AC61" s="29" t="n"/>
      <c r="AD61" s="226">
        <f>IF(J61&lt;&gt;"Yes",
IF(S61&lt;=0,"Error: Effort value is not defined or is invalid.",
IF(AND(SUM(U61:W61)&gt;0,SUM(U61:W61)&lt;&gt;1),"Error: Complexity % distribution should sum to 100%.",
IF(AND(P61=AS_DEV_EFFORT,X61&lt;&gt;0),"Error: PDs should not be defined when defining as dev effort %.",
IF(AND(P61=AS_DURATION_EFFORT,X61&lt;&gt;0),"Error: PDs should not be defined when defining as duration effort %.","")))))</f>
        <v/>
      </c>
    </row>
    <row r="62" outlineLevel="2" ht="43.5" customHeight="1" s="337">
      <c r="A62" s="212" t="inlineStr">
        <is>
          <t>A</t>
        </is>
      </c>
      <c r="B62" s="14" t="n"/>
      <c r="C62" s="62" t="n"/>
      <c r="D62" s="62" t="n"/>
      <c r="E62" s="62" t="n"/>
      <c r="F62" s="63" t="n"/>
      <c r="G62" s="15" t="inlineStr">
        <is>
          <t>-</t>
        </is>
      </c>
      <c r="H62" s="15" t="inlineStr">
        <is>
          <t>-</t>
        </is>
      </c>
      <c r="I62" s="16" t="inlineStr">
        <is>
          <t>-</t>
        </is>
      </c>
      <c r="J62" s="15" t="inlineStr">
        <is>
          <t>-</t>
        </is>
      </c>
      <c r="K62" s="30" t="n"/>
      <c r="L62" s="15" t="n"/>
      <c r="M62" s="229">
        <f>IFERROR(OFFSET(M62,-1,,1,1)+0.1,OFFSET(M62,-1,-1,1,1)&amp;".1")</f>
        <v/>
      </c>
      <c r="N62" s="16" t="inlineStr">
        <is>
          <t>Final Revisions</t>
        </is>
      </c>
      <c r="O62" s="16" t="inlineStr">
        <is>
          <t>Name: Total Screens
#: Key Screens</t>
        </is>
      </c>
      <c r="P62" s="16" t="n">
        <v>14</v>
      </c>
      <c r="Q62" s="100" t="n"/>
      <c r="R62" s="95" t="n"/>
      <c r="S62" s="230">
        <f>CEILING((IF(J62="Yes", 0, IF(H62="-",AA62,AA62+AA62*VLOOKUP(H62,BUFFERS_BY_TYPE,2,FALSE)))) +
   (IF(J62="Yes", 0, IF(H62="-",AA62,AA62+AA62*VLOOKUP(H62,BUFFERS_BY_TYPE,2,FALSE))))*VLOOKUP($S$5, SALES_CALL_SCALE_ARRAY, 2,FALSE),0.25)</f>
        <v/>
      </c>
      <c r="T62" s="116" t="n"/>
      <c r="U62" s="17" t="n">
        <v>0</v>
      </c>
      <c r="V62" s="17" t="n">
        <v>1</v>
      </c>
      <c r="W62" s="17" t="n">
        <v>0</v>
      </c>
      <c r="X62" s="115" t="n">
        <v>0.5</v>
      </c>
      <c r="Y62" s="230">
        <f>CEILING((IF(P62=AS_DEV_EFFORT, DEV_EFFORT*Q62%,
                           IF(P62=AS_DURATION_EFFORT, (MANUAL_DURATION*5)*Q62%,
                                    (IF(Q62&lt;=1,X62,
                                          IF(SUM(U62:W62)=0,(Q62*X62),
                                               (((Q62*U62)*(X62+(X62*EXTRA_FOR_H)))+
                                               ((Q62*V62)*X62)+
                                               ((Q62*W62)*(X62-(X62*LESS_FOR_L)))
                                    )*IF(R62=0,1,R62))))))+Z62), 0.25)</f>
        <v/>
      </c>
      <c r="Z62" s="18" t="n"/>
      <c r="AA62" s="230">
        <f>Y62+Y62*VLOOKUP(I62,EXTRAS_ARRAY,2,FALSE)</f>
        <v/>
      </c>
      <c r="AB62" s="16" t="inlineStr">
        <is>
          <t>Final visual revisions: 14 screens × 0.5 PD = 7 PDs.</t>
        </is>
      </c>
      <c r="AC62" s="29" t="n"/>
      <c r="AD62" s="226">
        <f>IF(J62&lt;&gt;"Yes",
IF(S62&lt;=0,"Error: Effort value is not defined or is invalid.",
IF(AND(SUM(U62:W62)&gt;0,SUM(U62:W62)&lt;&gt;1),"Error: Complexity % distribution should sum to 100%.",
IF(AND(P62=AS_DEV_EFFORT,X62&lt;&gt;0),"Error: PDs should not be defined when defining as dev effort %.",
IF(AND(P62=AS_DURATION_EFFORT,X62&lt;&gt;0),"Error: PDs should not be defined when defining as duration effort %.","")))))</f>
        <v/>
      </c>
    </row>
    <row r="63" outlineLevel="2" ht="7.5" customFormat="1" customHeight="1" s="294">
      <c r="A63" s="212" t="inlineStr">
        <is>
          <t>T3</t>
        </is>
      </c>
      <c r="B63" s="12" t="n"/>
      <c r="C63" s="56" t="n"/>
      <c r="D63" s="56" t="n"/>
      <c r="E63" s="56" t="n"/>
      <c r="F63" s="56" t="n"/>
      <c r="M63" s="180" t="n"/>
      <c r="T63" s="12" t="n"/>
      <c r="X63" s="12" t="n"/>
      <c r="AB63" s="7" t="n"/>
      <c r="AC63" s="7" t="n"/>
      <c r="AD63" s="7" t="n"/>
    </row>
    <row r="64" outlineLevel="1" ht="3" customFormat="1" customHeight="1" s="294">
      <c r="A64" s="212" t="inlineStr">
        <is>
          <t>S3</t>
        </is>
      </c>
      <c r="C64" s="56" t="n"/>
      <c r="D64" s="56" t="n"/>
      <c r="E64" s="56" t="n"/>
      <c r="F64" s="56" t="n"/>
      <c r="G64" s="21" t="n"/>
      <c r="H64" s="21" t="n"/>
      <c r="I64" s="21" t="n"/>
      <c r="J64" s="21" t="n"/>
      <c r="K64" s="21" t="n"/>
      <c r="L64" s="48" t="n"/>
      <c r="M64" s="189" t="n"/>
      <c r="N64" s="49" t="n"/>
      <c r="O64" s="49" t="n"/>
      <c r="P64" s="48" t="n"/>
      <c r="Q64" s="48" t="n"/>
      <c r="R64" s="48" t="n"/>
      <c r="S64" s="48" t="n"/>
      <c r="T64" s="48" t="n"/>
      <c r="U64" s="48" t="n"/>
      <c r="V64" s="48" t="n"/>
      <c r="W64" s="48" t="n"/>
      <c r="X64" s="48" t="n"/>
      <c r="Y64" s="48" t="n"/>
      <c r="Z64" s="48" t="n"/>
      <c r="AA64" s="48" t="n"/>
      <c r="AB64" s="49" t="n"/>
      <c r="AC64" s="49" t="n"/>
      <c r="AD64" s="7" t="n"/>
    </row>
    <row r="65" ht="18.5" customFormat="1" customHeight="1" s="298">
      <c r="A65" s="212" t="inlineStr">
        <is>
          <t>S1</t>
        </is>
      </c>
      <c r="B65" s="9" t="n"/>
      <c r="C65" s="57" t="n"/>
      <c r="D65" s="57" t="n"/>
      <c r="E65" s="57" t="n"/>
      <c r="F65" s="56" t="n"/>
      <c r="G65" s="44" t="n"/>
      <c r="H65" s="44" t="n"/>
      <c r="I65" s="44" t="n"/>
      <c r="J65" s="44" t="n"/>
      <c r="K65" s="44" t="n"/>
      <c r="L65" s="44" t="inlineStr">
        <is>
          <t>B</t>
        </is>
      </c>
      <c r="M65" s="187" t="inlineStr">
        <is>
          <t>System Design, Framework and Test Cases</t>
        </is>
      </c>
      <c r="N65" s="45" t="n"/>
      <c r="O65" s="46" t="n"/>
      <c r="P65" s="47" t="n"/>
      <c r="Q65" s="47" t="n"/>
      <c r="R65" s="47" t="n"/>
      <c r="S65" s="350">
        <f>CEILING(SUMIF(J66:J94, "&lt;&gt;Yes", T66:T94),1)</f>
        <v/>
      </c>
      <c r="T65" s="302" t="n"/>
      <c r="U65" s="47" t="n"/>
      <c r="V65" s="47" t="n"/>
      <c r="W65" s="47" t="n"/>
      <c r="X65" s="47" t="n"/>
      <c r="Y65" s="47" t="n"/>
      <c r="Z65" s="47" t="n"/>
      <c r="AA65" s="47" t="n"/>
      <c r="AB65" s="47" t="n"/>
      <c r="AC65" s="47" t="n"/>
      <c r="AD65" s="10" t="n"/>
    </row>
    <row r="66" outlineLevel="1" ht="3" customFormat="1" customHeight="1" s="294">
      <c r="A66" s="212" t="inlineStr">
        <is>
          <t>S2</t>
        </is>
      </c>
      <c r="B66" s="12" t="n"/>
      <c r="C66" s="56" t="n"/>
      <c r="D66" s="56" t="n"/>
      <c r="E66" s="56" t="n"/>
      <c r="F66" s="56" t="n"/>
      <c r="G66" s="21" t="n"/>
      <c r="H66" s="21" t="n"/>
      <c r="I66" s="21" t="n"/>
      <c r="J66" s="21" t="n"/>
      <c r="K66" s="21" t="n"/>
      <c r="L66" s="53" t="n">
        <v>0</v>
      </c>
      <c r="M66" s="188" t="n"/>
      <c r="N66" s="21" t="n"/>
      <c r="O66" s="21" t="n"/>
      <c r="P66" s="21" t="n"/>
      <c r="Q66" s="21" t="n"/>
      <c r="R66" s="21" t="n"/>
      <c r="S66" s="21" t="n"/>
      <c r="T66" s="22" t="n"/>
      <c r="U66" s="21" t="n"/>
      <c r="V66" s="21" t="n"/>
      <c r="W66" s="21" t="n"/>
      <c r="X66" s="22" t="n"/>
      <c r="Y66" s="21" t="n"/>
      <c r="Z66" s="21" t="n"/>
      <c r="AA66" s="21" t="n"/>
      <c r="AB66" s="23" t="n"/>
      <c r="AC66" s="23" t="n"/>
      <c r="AD66" s="7" t="n"/>
    </row>
    <row r="67" outlineLevel="1" ht="15.5" customFormat="1" customHeight="1" s="298">
      <c r="A67" s="212" t="inlineStr">
        <is>
          <t>T1</t>
        </is>
      </c>
      <c r="B67" s="14" t="n"/>
      <c r="C67" s="61" t="n"/>
      <c r="D67" s="61" t="n"/>
      <c r="E67" s="61" t="n"/>
      <c r="F67" s="60" t="n"/>
      <c r="G67" s="24" t="n"/>
      <c r="H67" s="24" t="n"/>
      <c r="I67" s="24" t="n"/>
      <c r="J67" s="24" t="n"/>
      <c r="K67" s="24" t="n"/>
      <c r="L67" s="223">
        <f>LOOKUP(1000,INDIRECT("L1:"&amp;CELL("address",INDIRECT("R[-1]C",FALSE))))+1</f>
        <v/>
      </c>
      <c r="M67" s="301" t="inlineStr">
        <is>
          <t>Current system understanding</t>
        </is>
      </c>
      <c r="N67" s="302" t="n"/>
      <c r="O67" s="4" t="n"/>
      <c r="P67" s="25" t="n"/>
      <c r="Q67" s="25" t="n"/>
      <c r="R67" s="25" t="n"/>
      <c r="S67" s="25" t="n"/>
      <c r="T67" s="225">
        <f>IF($S$6="Exclude", SUMIFS(S68:S71, J68:J71, "&lt;&gt;Yes", G68:G71, "&lt;&gt;Yes"), SUMIFS(S68:S71, J68:J71, "&lt;&gt;Yes"))</f>
        <v/>
      </c>
      <c r="U67" s="25" t="n"/>
      <c r="V67" s="25" t="n"/>
      <c r="W67" s="25" t="n"/>
      <c r="X67" s="26" t="n"/>
      <c r="Y67" s="27" t="n"/>
      <c r="Z67" s="27" t="n"/>
      <c r="AA67" s="27" t="n"/>
      <c r="AB67" s="155" t="n"/>
      <c r="AC67" s="28" t="n"/>
      <c r="AD67" s="226">
        <f>IF(M67="", "Error: Task name cannot be empty.", "")</f>
        <v/>
      </c>
    </row>
    <row r="68" outlineLevel="2" ht="1.5" customFormat="1" customHeight="1" s="9">
      <c r="A68" s="212" t="inlineStr">
        <is>
          <t>T2</t>
        </is>
      </c>
      <c r="B68" s="14" t="n"/>
      <c r="C68" s="61" t="n"/>
      <c r="D68" s="61" t="n"/>
      <c r="E68" s="61" t="n"/>
      <c r="F68" s="60" t="n"/>
      <c r="G68" s="24" t="n"/>
      <c r="H68" s="24" t="n"/>
      <c r="I68" s="24" t="n"/>
      <c r="J68" s="24" t="n"/>
      <c r="K68" s="24" t="n"/>
      <c r="L68" s="227">
        <f>L67</f>
        <v/>
      </c>
      <c r="M68" s="228" t="inlineStr">
        <is>
          <t>X</t>
        </is>
      </c>
      <c r="N68" s="118" t="n"/>
      <c r="O68" s="119" t="n"/>
      <c r="P68" s="25" t="n"/>
      <c r="Q68" s="25" t="n"/>
      <c r="R68" s="25" t="n"/>
      <c r="S68" s="25" t="n"/>
      <c r="T68" s="114" t="n"/>
      <c r="U68" s="25" t="n"/>
      <c r="V68" s="25" t="n"/>
      <c r="W68" s="25" t="n"/>
      <c r="X68" s="26" t="n"/>
      <c r="Y68" s="27" t="n"/>
      <c r="Z68" s="27" t="n"/>
      <c r="AA68" s="27" t="n"/>
      <c r="AB68" s="28" t="n"/>
      <c r="AC68" s="28" t="n"/>
      <c r="AD68" s="19" t="n"/>
    </row>
    <row r="69" outlineLevel="2" ht="43.5" customHeight="1" s="337">
      <c r="A69" s="212" t="inlineStr">
        <is>
          <t>A</t>
        </is>
      </c>
      <c r="B69" s="14" t="n"/>
      <c r="C69" s="62" t="n"/>
      <c r="D69" s="62" t="n"/>
      <c r="E69" s="62" t="n"/>
      <c r="F69" s="63" t="n"/>
      <c r="G69" s="15" t="inlineStr">
        <is>
          <t>-</t>
        </is>
      </c>
      <c r="H69" s="15" t="inlineStr">
        <is>
          <t>-</t>
        </is>
      </c>
      <c r="I69" s="16" t="inlineStr">
        <is>
          <t>-</t>
        </is>
      </c>
      <c r="J69" s="15" t="inlineStr">
        <is>
          <t>-</t>
        </is>
      </c>
      <c r="K69" s="30" t="n"/>
      <c r="L69" s="15" t="n"/>
      <c r="M69" s="229">
        <f>IFERROR(OFFSET(M69,-1,,1,1)+0.1,OFFSET(M69,-1,-1,1,1)&amp;".1")</f>
        <v/>
      </c>
      <c r="N69" s="16" t="inlineStr">
        <is>
          <t>Analysis of existing application(s) design</t>
        </is>
      </c>
      <c r="O69" s="16" t="n"/>
      <c r="P69" s="16" t="n"/>
      <c r="Q69" s="100" t="n">
        <v>1</v>
      </c>
      <c r="R69" s="95" t="n"/>
      <c r="S69" s="230">
        <f>CEILING((IF(J69="Yes", 0, IF(H69="-",AA69,AA69+AA69*VLOOKUP(H69,BUFFERS_BY_TYPE,2,FALSE)))) +
   (IF(J69="Yes", 0, IF(H69="-",AA69,AA69+AA69*VLOOKUP(H69,BUFFERS_BY_TYPE,2,FALSE))))*VLOOKUP($S$5, SALES_CALL_SCALE_ARRAY, 2,FALSE),0.25)</f>
        <v/>
      </c>
      <c r="T69" s="116" t="n"/>
      <c r="U69" s="17" t="n">
        <v>0</v>
      </c>
      <c r="V69" s="17" t="n">
        <v>1</v>
      </c>
      <c r="W69" s="17" t="n">
        <v>0</v>
      </c>
      <c r="X69" s="115" t="n">
        <v>2.5</v>
      </c>
      <c r="Y69" s="230">
        <f>CEILING((IF(P69=AS_DEV_EFFORT, DEV_EFFORT*Q69%,
                           IF(P69=AS_DURATION_EFFORT, (MANUAL_DURATION*5)*Q69%,
                                    (IF(Q69&lt;=1,X69,
                                          IF(SUM(U69:W69)=0,(Q69*X69),
                                               (((Q69*U69)*(X69+(X69*EXTRA_FOR_H)))+
                                               ((Q69*V69)*X69)+
                                               ((Q69*W69)*(X69-(X69*LESS_FOR_L)))
                                    )*IF(R69=0,1,R69))))))+Z69), 0.25)</f>
        <v/>
      </c>
      <c r="Z69" s="18" t="n"/>
      <c r="AA69" s="230">
        <f>Y69+Y69*VLOOKUP(I69,EXTRAS_ARRAY,2,FALSE)</f>
        <v/>
      </c>
      <c r="AB69" s="16" t="inlineStr">
        <is>
          <t>Analyse the existing storefront's design system, MUI usage and component library (2.5 PDs).</t>
        </is>
      </c>
      <c r="AC69" s="29" t="n"/>
      <c r="AD69" s="226">
        <f>IF(J69&lt;&gt;"Yes",
IF(S69&lt;=0,"Error: Effort value is not defined or is invalid.",
IF(AND(SUM(U69:W69)&gt;0,SUM(U69:W69)&lt;&gt;1),"Error: Complexity % distribution should sum to 100%.",
IF(AND(P69=AS_DEV_EFFORT,X69&lt;&gt;0),"Error: PDs should not be defined when defining as dev effort %.",
IF(AND(P69=AS_DURATION_EFFORT,X69&lt;&gt;0),"Error: PDs should not be defined when defining as duration effort %.","")))))</f>
        <v/>
      </c>
    </row>
    <row r="70" outlineLevel="2" ht="43.5" customHeight="1" s="337">
      <c r="A70" s="212" t="inlineStr">
        <is>
          <t>A</t>
        </is>
      </c>
      <c r="B70" s="14" t="n"/>
      <c r="C70" s="62" t="n"/>
      <c r="D70" s="62" t="n"/>
      <c r="E70" s="62" t="n"/>
      <c r="F70" s="63" t="n"/>
      <c r="G70" s="15" t="inlineStr">
        <is>
          <t>-</t>
        </is>
      </c>
      <c r="H70" s="15" t="inlineStr">
        <is>
          <t>-</t>
        </is>
      </c>
      <c r="I70" s="16" t="inlineStr">
        <is>
          <t>-</t>
        </is>
      </c>
      <c r="J70" s="15" t="inlineStr">
        <is>
          <t>-</t>
        </is>
      </c>
      <c r="K70" s="30" t="n"/>
      <c r="L70" s="15" t="n"/>
      <c r="M70" s="229">
        <f>IFERROR(OFFSET(M70,-1,,1,1)+0.1,OFFSET(M70,-1,-1,1,1)&amp;".1")</f>
        <v/>
      </c>
      <c r="N70" s="16" t="inlineStr">
        <is>
          <t>Analysis of existing database(s)</t>
        </is>
      </c>
      <c r="O70" s="16" t="n"/>
      <c r="P70" s="16" t="inlineStr">
        <is>
          <t>Tables</t>
        </is>
      </c>
      <c r="Q70" s="100" t="n">
        <v>12</v>
      </c>
      <c r="R70" s="95" t="n"/>
      <c r="S70" s="230">
        <f>CEILING((IF(J70="Yes", 0, IF(H70="-",AA70,AA70+AA70*VLOOKUP(H70,BUFFERS_BY_TYPE,2,FALSE)))) +
   (IF(J70="Yes", 0, IF(H70="-",AA70,AA70+AA70*VLOOKUP(H70,BUFFERS_BY_TYPE,2,FALSE))))*VLOOKUP($S$5, SALES_CALL_SCALE_ARRAY, 2,FALSE),0.25)</f>
        <v/>
      </c>
      <c r="T70" s="116" t="n"/>
      <c r="U70" s="17" t="n">
        <v>0</v>
      </c>
      <c r="V70" s="17" t="n">
        <v>1</v>
      </c>
      <c r="W70" s="17" t="n">
        <v>0</v>
      </c>
      <c r="X70" s="115" t="n">
        <v>0.25</v>
      </c>
      <c r="Y70" s="230">
        <f>CEILING((IF(P70=AS_DEV_EFFORT, DEV_EFFORT*Q70%,
                           IF(P70=AS_DURATION_EFFORT, (MANUAL_DURATION*5)*Q70%,
                                    (IF(Q70&lt;=1,X70,
                                          IF(SUM(U70:W70)=0,(Q70*X70),
                                               (((Q70*U70)*(X70+(X70*EXTRA_FOR_H)))+
                                               ((Q70*V70)*X70)+
                                               ((Q70*W70)*(X70-(X70*LESS_FOR_L)))
                                    )*IF(R70=0,1,R70))))))+Z70), 0.25)</f>
        <v/>
      </c>
      <c r="Z70" s="18" t="n"/>
      <c r="AA70" s="230">
        <f>Y70+Y70*VLOOKUP(I70,EXTRAS_ARRAY,2,FALSE)</f>
        <v/>
      </c>
      <c r="AB70" s="16" t="inlineStr">
        <is>
          <t>Legacy schema review: 12 tables × 0.25 PD = 3 PDs. Inputs into Postgres design for users, products, stock, orders, coupons.</t>
        </is>
      </c>
      <c r="AC70" s="29" t="n"/>
      <c r="AD70" s="226">
        <f>IF(J70&lt;&gt;"Yes",
IF(S70&lt;=0,"Error: Effort value is not defined or is invalid.",
IF(AND(SUM(U70:W70)&gt;0,SUM(U70:W70)&lt;&gt;1),"Error: Complexity % distribution should sum to 100%.",
IF(AND(P70=AS_DEV_EFFORT,X70&lt;&gt;0),"Error: PDs should not be defined when defining as dev effort %.",
IF(AND(P70=AS_DURATION_EFFORT,X70&lt;&gt;0),"Error: PDs should not be defined when defining as duration effort %.","")))))</f>
        <v/>
      </c>
    </row>
    <row r="71" outlineLevel="2" ht="7.5" customFormat="1" customHeight="1" s="294">
      <c r="A71" s="212" t="inlineStr">
        <is>
          <t>T3</t>
        </is>
      </c>
      <c r="B71" s="12" t="n"/>
      <c r="C71" s="56" t="n"/>
      <c r="D71" s="56" t="n"/>
      <c r="E71" s="56" t="n"/>
      <c r="F71" s="56" t="n"/>
      <c r="M71" s="180" t="n"/>
      <c r="T71" s="12" t="n"/>
      <c r="X71" s="12" t="n"/>
      <c r="AB71" s="7" t="n"/>
      <c r="AC71" s="7" t="n"/>
      <c r="AD71" s="7" t="n"/>
    </row>
    <row r="72" outlineLevel="1" collapsed="1" ht="15.5" customFormat="1" customHeight="1" s="298">
      <c r="A72" s="212" t="inlineStr">
        <is>
          <t>T1</t>
        </is>
      </c>
      <c r="B72" s="14" t="n"/>
      <c r="C72" s="61" t="n"/>
      <c r="D72" s="61" t="n"/>
      <c r="E72" s="61" t="n"/>
      <c r="F72" s="60" t="n"/>
      <c r="G72" s="24" t="n"/>
      <c r="H72" s="24" t="n"/>
      <c r="I72" s="24" t="n"/>
      <c r="J72" s="24" t="n"/>
      <c r="K72" s="24" t="n"/>
      <c r="L72" s="223">
        <f>LOOKUP(1000,INDIRECT("L1:"&amp;CELL("address",INDIRECT("R[-1]C",FALSE))))+1</f>
        <v/>
      </c>
      <c r="M72" s="301" t="inlineStr">
        <is>
          <t>POCs</t>
        </is>
      </c>
      <c r="N72" s="302" t="n"/>
      <c r="O72" s="4" t="n"/>
      <c r="P72" s="25" t="n"/>
      <c r="Q72" s="25" t="n"/>
      <c r="R72" s="25" t="n"/>
      <c r="S72" s="25" t="n"/>
      <c r="T72" s="225">
        <f>IF($S$6="Exclude", SUMIFS(S73:S75, J73:J75, "&lt;&gt;Yes", G73:G75, "&lt;&gt;Yes"), SUMIFS(S73:S75, J73:J75, "&lt;&gt;Yes"))</f>
        <v/>
      </c>
      <c r="U72" s="25" t="n"/>
      <c r="V72" s="25" t="n"/>
      <c r="W72" s="25" t="n"/>
      <c r="X72" s="26" t="n"/>
      <c r="Y72" s="27" t="n"/>
      <c r="Z72" s="27" t="n"/>
      <c r="AA72" s="27" t="n"/>
      <c r="AB72" s="155" t="n"/>
      <c r="AC72" s="28" t="n"/>
      <c r="AD72" s="226">
        <f>IF(M72="", "Error: Task name cannot be empty.", "")</f>
        <v/>
      </c>
    </row>
    <row r="73" hidden="1" outlineLevel="2" ht="1.5" customFormat="1" customHeight="1" s="9">
      <c r="A73" s="212" t="inlineStr">
        <is>
          <t>T2</t>
        </is>
      </c>
      <c r="B73" s="14" t="n"/>
      <c r="C73" s="61" t="n"/>
      <c r="D73" s="61" t="n"/>
      <c r="E73" s="61" t="n"/>
      <c r="F73" s="60" t="n"/>
      <c r="G73" s="24" t="n"/>
      <c r="H73" s="24" t="n"/>
      <c r="I73" s="24" t="n"/>
      <c r="J73" s="24" t="n"/>
      <c r="K73" s="24" t="n"/>
      <c r="L73" s="227">
        <f>L72</f>
        <v/>
      </c>
      <c r="M73" s="228" t="inlineStr">
        <is>
          <t>X</t>
        </is>
      </c>
      <c r="N73" s="118" t="n"/>
      <c r="O73" s="119" t="n"/>
      <c r="P73" s="25" t="n"/>
      <c r="Q73" s="25" t="n"/>
      <c r="R73" s="25" t="n"/>
      <c r="S73" s="25" t="n"/>
      <c r="T73" s="114" t="n"/>
      <c r="U73" s="25" t="n"/>
      <c r="V73" s="25" t="n"/>
      <c r="W73" s="25" t="n"/>
      <c r="X73" s="26" t="n"/>
      <c r="Y73" s="27" t="n"/>
      <c r="Z73" s="27" t="n"/>
      <c r="AA73" s="27" t="n"/>
      <c r="AB73" s="28" t="n"/>
      <c r="AC73" s="28" t="n"/>
      <c r="AD73" s="19" t="n"/>
    </row>
    <row r="74" hidden="1" outlineLevel="2" ht="43.5" customHeight="1" s="337">
      <c r="A74" s="212" t="inlineStr">
        <is>
          <t>A</t>
        </is>
      </c>
      <c r="B74" s="14" t="n"/>
      <c r="C74" s="62" t="n"/>
      <c r="D74" s="62" t="n"/>
      <c r="E74" s="62" t="n"/>
      <c r="F74" s="63" t="n"/>
      <c r="G74" s="15" t="inlineStr">
        <is>
          <t>-</t>
        </is>
      </c>
      <c r="H74" s="15" t="inlineStr">
        <is>
          <t>-</t>
        </is>
      </c>
      <c r="I74" s="16" t="inlineStr">
        <is>
          <t>-</t>
        </is>
      </c>
      <c r="J74" s="15" t="inlineStr">
        <is>
          <t>Yes</t>
        </is>
      </c>
      <c r="K74" s="30" t="n"/>
      <c r="L74" s="15" t="n"/>
      <c r="M74" s="229">
        <f>IFERROR(OFFSET(M74,-1,,1,1)+0.1,OFFSET(M74,-1,-1,1,1)&amp;".1")</f>
        <v/>
      </c>
      <c r="N74" s="16" t="inlineStr">
        <is>
          <t>POC: &lt;POC description&gt;</t>
        </is>
      </c>
      <c r="O74" s="16" t="n"/>
      <c r="P74" s="16" t="n"/>
      <c r="Q74" s="100" t="n"/>
      <c r="R74" s="95" t="n"/>
      <c r="S74" s="230">
        <f>CEILING((IF(J74="Yes", 0, IF(H74="-",AA74,AA74+AA74*VLOOKUP(H74,BUFFERS_BY_TYPE,2,FALSE)))) +
   (IF(J74="Yes", 0, IF(H74="-",AA74,AA74+AA74*VLOOKUP(H74,BUFFERS_BY_TYPE,2,FALSE))))*VLOOKUP($S$5, SALES_CALL_SCALE_ARRAY, 2,FALSE),0.25)</f>
        <v/>
      </c>
      <c r="T74" s="116" t="n"/>
      <c r="U74" s="17" t="n">
        <v>0</v>
      </c>
      <c r="V74" s="17" t="n">
        <v>1</v>
      </c>
      <c r="W74" s="17" t="n">
        <v>0</v>
      </c>
      <c r="X74" s="115" t="n"/>
      <c r="Y74" s="230">
        <f>CEILING((IF(P74=AS_DEV_EFFORT, DEV_EFFORT*Q74%,
                           IF(P74=AS_DURATION_EFFORT, (MANUAL_DURATION*5)*Q74%,
                                    (IF(Q74&lt;=1,X74,
                                          IF(SUM(U74:W74)=0,(Q74*X74),
                                               (((Q74*U74)*(X74+(X74*EXTRA_FOR_H)))+
                                               ((Q74*V74)*X74)+
                                               ((Q74*W74)*(X74-(X74*LESS_FOR_L)))
                                    )*IF(R74=0,1,R74))))))+Z74), 0.25)</f>
        <v/>
      </c>
      <c r="Z74" s="18" t="n"/>
      <c r="AA74" s="230">
        <f>Y74+Y74*VLOOKUP(I74,EXTRAS_ARRAY,2,FALSE)</f>
        <v/>
      </c>
      <c r="AB74" s="16" t="inlineStr">
        <is>
          <t>Excluded: no bespoke POCs required for YCompany; stack is proven (Next.js 16 App Router, NextAuth v5, Stripe v22, MUI v9).</t>
        </is>
      </c>
      <c r="AC74" s="29" t="n"/>
      <c r="AD74" s="226">
        <f>IF(J74&lt;&gt;"Yes",
IF(S74&lt;=0,"Error: Effort value is not defined or is invalid.",
IF(AND(SUM(U74:W74)&gt;0,SUM(U74:W74)&lt;&gt;1),"Error: Complexity % distribution should sum to 100%.",
IF(AND(P74=AS_DEV_EFFORT,X74&lt;&gt;0),"Error: PDs should not be defined when defining as dev effort %.",
IF(AND(P74=AS_DURATION_EFFORT,X74&lt;&gt;0),"Error: PDs should not be defined when defining as duration effort %.","")))))</f>
        <v/>
      </c>
    </row>
    <row r="75" hidden="1" outlineLevel="2" ht="7.5" customFormat="1" customHeight="1" s="294">
      <c r="A75" s="212" t="inlineStr">
        <is>
          <t>T3</t>
        </is>
      </c>
      <c r="B75" s="12" t="n"/>
      <c r="C75" s="56" t="n"/>
      <c r="D75" s="56" t="n"/>
      <c r="E75" s="56" t="n"/>
      <c r="F75" s="56" t="n"/>
      <c r="M75" s="180" t="n"/>
      <c r="T75" s="12" t="n"/>
      <c r="X75" s="12" t="n"/>
      <c r="AB75" s="7" t="n"/>
      <c r="AC75" s="7" t="n"/>
      <c r="AD75" s="7" t="n"/>
    </row>
    <row r="76" outlineLevel="1" ht="15.5" customFormat="1" customHeight="1" s="298">
      <c r="A76" s="212" t="inlineStr">
        <is>
          <t>T1</t>
        </is>
      </c>
      <c r="B76" s="14" t="n"/>
      <c r="C76" s="61" t="n"/>
      <c r="D76" s="61" t="n"/>
      <c r="E76" s="61" t="n"/>
      <c r="F76" s="60" t="n"/>
      <c r="G76" s="24" t="n"/>
      <c r="H76" s="24" t="n"/>
      <c r="I76" s="24" t="n"/>
      <c r="J76" s="24" t="n"/>
      <c r="K76" s="24" t="n"/>
      <c r="L76" s="223">
        <f>LOOKUP(1000,INDIRECT("L1:"&amp;CELL("address",INDIRECT("R[-1]C",FALSE))))+1</f>
        <v/>
      </c>
      <c r="M76" s="301" t="inlineStr">
        <is>
          <t>Design Analysis and Documentation</t>
        </is>
      </c>
      <c r="N76" s="302" t="n"/>
      <c r="O76" s="4" t="n"/>
      <c r="P76" s="25" t="n"/>
      <c r="Q76" s="25" t="n"/>
      <c r="R76" s="25" t="n"/>
      <c r="S76" s="25" t="n"/>
      <c r="T76" s="225">
        <f>IF($S$6="Exclude", SUMIFS(S77:S82, J77:J82, "&lt;&gt;Yes", G77:G82, "&lt;&gt;Yes"), SUMIFS(S77:S82, J77:J82, "&lt;&gt;Yes"))</f>
        <v/>
      </c>
      <c r="U76" s="25" t="n"/>
      <c r="V76" s="25" t="n"/>
      <c r="W76" s="25" t="n"/>
      <c r="X76" s="26" t="n"/>
      <c r="Y76" s="27" t="n"/>
      <c r="Z76" s="27" t="n"/>
      <c r="AA76" s="27" t="n"/>
      <c r="AB76" s="155" t="n"/>
      <c r="AC76" s="28" t="n"/>
      <c r="AD76" s="226">
        <f>IF(M76="", "Error: Task name cannot be empty.", "")</f>
        <v/>
      </c>
    </row>
    <row r="77" outlineLevel="2" ht="1.5" customFormat="1" customHeight="1" s="9">
      <c r="A77" s="212" t="inlineStr">
        <is>
          <t>T2</t>
        </is>
      </c>
      <c r="B77" s="14" t="n"/>
      <c r="C77" s="61" t="n"/>
      <c r="D77" s="61" t="n"/>
      <c r="E77" s="61" t="n"/>
      <c r="F77" s="60" t="n"/>
      <c r="G77" s="24" t="n"/>
      <c r="H77" s="24" t="n"/>
      <c r="I77" s="24" t="n"/>
      <c r="J77" s="24" t="n"/>
      <c r="K77" s="24" t="n"/>
      <c r="L77" s="227">
        <f>L76</f>
        <v/>
      </c>
      <c r="M77" s="228" t="inlineStr">
        <is>
          <t>X</t>
        </is>
      </c>
      <c r="N77" s="118" t="n"/>
      <c r="O77" s="119" t="n"/>
      <c r="P77" s="25" t="n"/>
      <c r="Q77" s="25" t="n"/>
      <c r="R77" s="25" t="n"/>
      <c r="S77" s="25" t="n"/>
      <c r="T77" s="114" t="n"/>
      <c r="U77" s="25" t="n"/>
      <c r="V77" s="25" t="n"/>
      <c r="W77" s="25" t="n"/>
      <c r="X77" s="26" t="n"/>
      <c r="Y77" s="27" t="n"/>
      <c r="Z77" s="27" t="n"/>
      <c r="AA77" s="27" t="n"/>
      <c r="AB77" s="28" t="n"/>
      <c r="AC77" s="28" t="n"/>
      <c r="AD77" s="19" t="n"/>
    </row>
    <row r="78" outlineLevel="2" ht="43.5" customHeight="1" s="337">
      <c r="A78" s="212" t="inlineStr">
        <is>
          <t>A</t>
        </is>
      </c>
      <c r="B78" s="14" t="n"/>
      <c r="C78" s="62" t="n"/>
      <c r="D78" s="62" t="n"/>
      <c r="E78" s="62" t="n"/>
      <c r="F78" s="63" t="n"/>
      <c r="G78" s="15" t="inlineStr">
        <is>
          <t>-</t>
        </is>
      </c>
      <c r="H78" s="15" t="inlineStr">
        <is>
          <t>-</t>
        </is>
      </c>
      <c r="I78" s="16" t="inlineStr">
        <is>
          <t>-</t>
        </is>
      </c>
      <c r="J78" s="15" t="inlineStr">
        <is>
          <t>-</t>
        </is>
      </c>
      <c r="K78" s="30" t="n"/>
      <c r="L78" s="15" t="n"/>
      <c r="M78" s="229">
        <f>IFERROR(OFFSET(M78,-1,,1,1)+0.1,OFFSET(M78,-1,-1,1,1)&amp;".1")</f>
        <v/>
      </c>
      <c r="N78" s="16" t="inlineStr">
        <is>
          <t xml:space="preserve">High Level Analysis and design document preparation
</t>
        </is>
      </c>
      <c r="O78" s="16" t="n"/>
      <c r="P78" s="16" t="n"/>
      <c r="Q78" s="100" t="n">
        <v>1</v>
      </c>
      <c r="R78" s="95" t="n"/>
      <c r="S78" s="230">
        <f>CEILING((IF(J78="Yes", 0, IF(H78="-",AA78,AA78+AA78*VLOOKUP(H78,BUFFERS_BY_TYPE,2,FALSE)))) +
   (IF(J78="Yes", 0, IF(H78="-",AA78,AA78+AA78*VLOOKUP(H78,BUFFERS_BY_TYPE,2,FALSE))))*VLOOKUP($S$5, SALES_CALL_SCALE_ARRAY, 2,FALSE),0.25)</f>
        <v/>
      </c>
      <c r="T78" s="116" t="n"/>
      <c r="U78" s="17" t="n">
        <v>0</v>
      </c>
      <c r="V78" s="17" t="n">
        <v>1</v>
      </c>
      <c r="W78" s="17" t="n">
        <v>0</v>
      </c>
      <c r="X78" s="115" t="n">
        <v>7</v>
      </c>
      <c r="Y78" s="230">
        <f>CEILING((IF(P78=AS_DEV_EFFORT, DEV_EFFORT*Q78%,
                           IF(P78=AS_DURATION_EFFORT, (MANUAL_DURATION*5)*Q78%,
                                    (IF(Q78&lt;=1,X78,
                                          IF(SUM(U78:W78)=0,(Q78*X78),
                                               (((Q78*U78)*(X78+(X78*EXTRA_FOR_H)))+
                                               ((Q78*V78)*X78)+
                                               ((Q78*W78)*(X78-(X78*LESS_FOR_L)))
                                    )*IF(R78=0,1,R78))))))+Z78), 0.25)</f>
        <v/>
      </c>
      <c r="Z78" s="18" t="n"/>
      <c r="AA78" s="230">
        <f>Y78+Y78*VLOOKUP(I78,EXTRAS_ARRAY,2,FALSE)</f>
        <v/>
      </c>
      <c r="AB78" s="16" t="inlineStr">
        <is>
          <t>HLD delivered as DAR-YCompany-Updated.docx covering architecture, Elasticsearch search workflow, Resend notifications, observability, security, deployment and risks (7 PDs).</t>
        </is>
      </c>
      <c r="AC78" s="29" t="n"/>
      <c r="AD78" s="226">
        <f>IF(J78&lt;&gt;"Yes",
IF(S78&lt;=0,"Error: Effort value is not defined or is invalid.",
IF(AND(SUM(U78:W78)&gt;0,SUM(U78:W78)&lt;&gt;1),"Error: Complexity % distribution should sum to 100%.",
IF(AND(P78=AS_DEV_EFFORT,X78&lt;&gt;0),"Error: PDs should not be defined when defining as dev effort %.",
IF(AND(P78=AS_DURATION_EFFORT,X78&lt;&gt;0),"Error: PDs should not be defined when defining as duration effort %.","")))))</f>
        <v/>
      </c>
    </row>
    <row r="79" outlineLevel="2" ht="43.5" customHeight="1" s="337">
      <c r="A79" s="212" t="inlineStr">
        <is>
          <t>A</t>
        </is>
      </c>
      <c r="B79" s="14" t="n"/>
      <c r="C79" s="62" t="n"/>
      <c r="D79" s="62" t="n"/>
      <c r="E79" s="62" t="n"/>
      <c r="F79" s="63" t="n"/>
      <c r="G79" s="15" t="inlineStr">
        <is>
          <t>-</t>
        </is>
      </c>
      <c r="H79" s="15" t="inlineStr">
        <is>
          <t>-</t>
        </is>
      </c>
      <c r="I79" s="16" t="inlineStr">
        <is>
          <t>-</t>
        </is>
      </c>
      <c r="J79" s="15" t="inlineStr">
        <is>
          <t>-</t>
        </is>
      </c>
      <c r="K79" s="30" t="n"/>
      <c r="L79" s="15" t="n"/>
      <c r="M79" s="229">
        <f>IFERROR(OFFSET(M79,-1,,1,1)+0.1,OFFSET(M79,-1,-1,1,1)&amp;".1")</f>
        <v/>
      </c>
      <c r="N79" s="16" t="inlineStr">
        <is>
          <t xml:space="preserve">Low level analysis and design document preparation
</t>
        </is>
      </c>
      <c r="O79" s="16" t="n"/>
      <c r="P79" s="16" t="n"/>
      <c r="Q79" s="100" t="n">
        <v>1</v>
      </c>
      <c r="R79" s="95" t="n"/>
      <c r="S79" s="230">
        <f>CEILING((IF(J79="Yes", 0, IF(H79="-",AA79,AA79+AA79*VLOOKUP(H79,BUFFERS_BY_TYPE,2,FALSE)))) +
   (IF(J79="Yes", 0, IF(H79="-",AA79,AA79+AA79*VLOOKUP(H79,BUFFERS_BY_TYPE,2,FALSE))))*VLOOKUP($S$5, SALES_CALL_SCALE_ARRAY, 2,FALSE),0.25)</f>
        <v/>
      </c>
      <c r="T79" s="116" t="n"/>
      <c r="U79" s="17" t="n">
        <v>0</v>
      </c>
      <c r="V79" s="17" t="n">
        <v>1</v>
      </c>
      <c r="W79" s="17" t="n">
        <v>0</v>
      </c>
      <c r="X79" s="115" t="n">
        <v>3</v>
      </c>
      <c r="Y79" s="230">
        <f>CEILING((IF(P79=AS_DEV_EFFORT, DEV_EFFORT*Q79%,
                           IF(P79=AS_DURATION_EFFORT, (MANUAL_DURATION*5)*Q79%,
                                    (IF(Q79&lt;=1,X79,
                                          IF(SUM(U79:W79)=0,(Q79*X79),
                                               (((Q79*U79)*(X79+(X79*EXTRA_FOR_H)))+
                                               ((Q79*V79)*X79)+
                                               ((Q79*W79)*(X79-(X79*LESS_FOR_L)))
                                    )*IF(R79=0,1,R79))))))+Z79), 0.25)</f>
        <v/>
      </c>
      <c r="Z79" s="18" t="n"/>
      <c r="AA79" s="230">
        <f>Y79+Y79*VLOOKUP(I79,EXTRAS_ARRAY,2,FALSE)</f>
        <v/>
      </c>
      <c r="AB79" s="16" t="inlineStr">
        <is>
          <t>LLD per module: Storefront RSCs, API/Route Handlers, Elastic search facade, Resend email layer, Payments + Webhooks, Coupons, Orders sync (3 PDs).</t>
        </is>
      </c>
      <c r="AC79" s="29" t="n"/>
      <c r="AD79" s="226">
        <f>IF(J79&lt;&gt;"Yes",
IF(S79&lt;=0,"Error: Effort value is not defined or is invalid.",
IF(AND(SUM(U79:W79)&gt;0,SUM(U79:W79)&lt;&gt;1),"Error: Complexity % distribution should sum to 100%.",
IF(AND(P79=AS_DEV_EFFORT,X79&lt;&gt;0),"Error: PDs should not be defined when defining as dev effort %.",
IF(AND(P79=AS_DURATION_EFFORT,X79&lt;&gt;0),"Error: PDs should not be defined when defining as duration effort %.","")))))</f>
        <v/>
      </c>
    </row>
    <row r="80" outlineLevel="2" ht="43.5" customHeight="1" s="337">
      <c r="A80" s="212" t="inlineStr">
        <is>
          <t>A</t>
        </is>
      </c>
      <c r="B80" s="14" t="n"/>
      <c r="C80" s="62" t="n"/>
      <c r="D80" s="62" t="n"/>
      <c r="E80" s="62" t="n"/>
      <c r="F80" s="63" t="n"/>
      <c r="G80" s="15" t="inlineStr">
        <is>
          <t>-</t>
        </is>
      </c>
      <c r="H80" s="15" t="inlineStr">
        <is>
          <t>-</t>
        </is>
      </c>
      <c r="I80" s="16" t="inlineStr">
        <is>
          <t>-</t>
        </is>
      </c>
      <c r="J80" s="15" t="inlineStr">
        <is>
          <t>-</t>
        </is>
      </c>
      <c r="K80" s="30" t="n"/>
      <c r="L80" s="15" t="n"/>
      <c r="M80" s="229">
        <f>IFERROR(OFFSET(M80,-1,,1,1)+0.1,OFFSET(M80,-1,-1,1,1)&amp;".1")</f>
        <v/>
      </c>
      <c r="N80" s="16" t="inlineStr">
        <is>
          <t>Database design and analysis document preparation
&gt;&gt; Data Dictionary etc.</t>
        </is>
      </c>
      <c r="O80" s="16" t="n"/>
      <c r="P80" s="16" t="inlineStr">
        <is>
          <t>Tables</t>
        </is>
      </c>
      <c r="Q80" s="100" t="n">
        <v>12</v>
      </c>
      <c r="R80" s="95" t="n"/>
      <c r="S80" s="230">
        <f>CEILING((IF(J80="Yes", 0, IF(H80="-",AA80,AA80+AA80*VLOOKUP(H80,BUFFERS_BY_TYPE,2,FALSE)))) +
   (IF(J80="Yes", 0, IF(H80="-",AA80,AA80+AA80*VLOOKUP(H80,BUFFERS_BY_TYPE,2,FALSE))))*VLOOKUP($S$5, SALES_CALL_SCALE_ARRAY, 2,FALSE),0.25)</f>
        <v/>
      </c>
      <c r="T80" s="116" t="n"/>
      <c r="U80" s="17" t="n">
        <v>0</v>
      </c>
      <c r="V80" s="17" t="n">
        <v>1</v>
      </c>
      <c r="W80" s="17" t="n">
        <v>0</v>
      </c>
      <c r="X80" s="115" t="n">
        <v>0.5</v>
      </c>
      <c r="Y80" s="230">
        <f>CEILING((IF(P80=AS_DEV_EFFORT, DEV_EFFORT*Q80%,
                           IF(P80=AS_DURATION_EFFORT, (MANUAL_DURATION*5)*Q80%,
                                    (IF(Q80&lt;=1,X80,
                                          IF(SUM(U80:W80)=0,(Q80*X80),
                                               (((Q80*U80)*(X80+(X80*EXTRA_FOR_H)))+
                                               ((Q80*V80)*X80)+
                                               ((Q80*W80)*(X80-(X80*LESS_FOR_L)))
                                    )*IF(R80=0,1,R80))))))+Z80), 0.25)</f>
        <v/>
      </c>
      <c r="Z80" s="18" t="n"/>
      <c r="AA80" s="230">
        <f>Y80+Y80*VLOOKUP(I80,EXTRAS_ARRAY,2,FALSE)</f>
        <v/>
      </c>
      <c r="AB80" s="16" t="inlineStr">
        <is>
          <t>Database design: 12 Postgres tables × 0.5 PD = 6 PDs. Data dictionary for users, products, stock, orders, coupons.</t>
        </is>
      </c>
      <c r="AC80" s="29" t="n"/>
      <c r="AD80" s="226">
        <f>IF(J80&lt;&gt;"Yes",
IF(S80&lt;=0,"Error: Effort value is not defined or is invalid.",
IF(AND(SUM(U80:W80)&gt;0,SUM(U80:W80)&lt;&gt;1),"Error: Complexity % distribution should sum to 100%.",
IF(AND(P80=AS_DEV_EFFORT,X80&lt;&gt;0),"Error: PDs should not be defined when defining as dev effort %.",
IF(AND(P80=AS_DURATION_EFFORT,X80&lt;&gt;0),"Error: PDs should not be defined when defining as duration effort %.","")))))</f>
        <v/>
      </c>
    </row>
    <row r="81" outlineLevel="2" ht="43.5" customHeight="1" s="337">
      <c r="A81" s="212" t="inlineStr">
        <is>
          <t>A</t>
        </is>
      </c>
      <c r="B81" s="14" t="n"/>
      <c r="C81" s="62" t="n"/>
      <c r="D81" s="62" t="n"/>
      <c r="E81" s="62" t="n"/>
      <c r="F81" s="63" t="n"/>
      <c r="G81" s="15" t="inlineStr">
        <is>
          <t>-</t>
        </is>
      </c>
      <c r="H81" s="15" t="inlineStr">
        <is>
          <t>-</t>
        </is>
      </c>
      <c r="I81" s="16" t="inlineStr">
        <is>
          <t>-</t>
        </is>
      </c>
      <c r="J81" s="15" t="inlineStr">
        <is>
          <t>-</t>
        </is>
      </c>
      <c r="K81" s="30" t="n"/>
      <c r="L81" s="15" t="n"/>
      <c r="M81" s="229">
        <f>IFERROR(OFFSET(M81,-1,,1,1)+0.1,OFFSET(M81,-1,-1,1,1)&amp;".1")</f>
        <v/>
      </c>
      <c r="N81" s="16" t="inlineStr">
        <is>
          <t>Review and Sign-off
&gt;&gt; Client review iterations and sign-off on design documents</t>
        </is>
      </c>
      <c r="O81" s="16" t="n"/>
      <c r="P81" s="16" t="n"/>
      <c r="Q81" s="100" t="n">
        <v>1</v>
      </c>
      <c r="R81" s="95" t="n"/>
      <c r="S81" s="230">
        <f>CEILING((IF(J81="Yes", 0, IF(H81="-",AA81,AA81+AA81*VLOOKUP(H81,BUFFERS_BY_TYPE,2,FALSE)))) +
   (IF(J81="Yes", 0, IF(H81="-",AA81,AA81+AA81*VLOOKUP(H81,BUFFERS_BY_TYPE,2,FALSE))))*VLOOKUP($S$5, SALES_CALL_SCALE_ARRAY, 2,FALSE),0.25)</f>
        <v/>
      </c>
      <c r="T81" s="116" t="n"/>
      <c r="U81" s="17" t="n">
        <v>0</v>
      </c>
      <c r="V81" s="17" t="n">
        <v>1</v>
      </c>
      <c r="W81" s="17" t="n">
        <v>0</v>
      </c>
      <c r="X81" s="115" t="n">
        <v>2</v>
      </c>
      <c r="Y81" s="230">
        <f>CEILING((IF(P81=AS_DEV_EFFORT, DEV_EFFORT*Q81%,
                           IF(P81=AS_DURATION_EFFORT, (MANUAL_DURATION*5)*Q81%,
                                    (IF(Q81&lt;=1,X81,
                                          IF(SUM(U81:W81)=0,(Q81*X81),
                                               (((Q81*U81)*(X81+(X81*EXTRA_FOR_H)))+
                                               ((Q81*V81)*X81)+
                                               ((Q81*W81)*(X81-(X81*LESS_FOR_L)))
                                    )*IF(R81=0,1,R81))))))+Z81), 0.25)</f>
        <v/>
      </c>
      <c r="Z81" s="18" t="n"/>
      <c r="AA81" s="230">
        <f>Y81+Y81*VLOOKUP(I81,EXTRAS_ARRAY,2,FALSE)</f>
        <v/>
      </c>
      <c r="AB81" s="16" t="inlineStr">
        <is>
          <t>Design review iterations + sign-off (2 PDs).</t>
        </is>
      </c>
      <c r="AC81" s="29" t="n"/>
      <c r="AD81" s="226">
        <f>IF(J81&lt;&gt;"Yes",
IF(S81&lt;=0,"Error: Effort value is not defined or is invalid.",
IF(AND(SUM(U81:W81)&gt;0,SUM(U81:W81)&lt;&gt;1),"Error: Complexity % distribution should sum to 100%.",
IF(AND(P81=AS_DEV_EFFORT,X81&lt;&gt;0),"Error: PDs should not be defined when defining as dev effort %.",
IF(AND(P81=AS_DURATION_EFFORT,X81&lt;&gt;0),"Error: PDs should not be defined when defining as duration effort %.","")))))</f>
        <v/>
      </c>
    </row>
    <row r="82" outlineLevel="2" ht="7.5" customFormat="1" customHeight="1" s="294">
      <c r="A82" s="212" t="inlineStr">
        <is>
          <t>T3</t>
        </is>
      </c>
      <c r="B82" s="12" t="n"/>
      <c r="C82" s="56" t="n"/>
      <c r="D82" s="56" t="n"/>
      <c r="E82" s="56" t="n"/>
      <c r="F82" s="56" t="n"/>
      <c r="M82" s="180" t="n"/>
      <c r="T82" s="12" t="n"/>
      <c r="X82" s="12" t="n"/>
      <c r="AB82" s="7" t="n"/>
      <c r="AC82" s="7" t="n"/>
      <c r="AD82" s="7" t="n"/>
    </row>
    <row r="83" outlineLevel="1" ht="15.5" customFormat="1" customHeight="1" s="298">
      <c r="A83" s="212" t="inlineStr">
        <is>
          <t>T1</t>
        </is>
      </c>
      <c r="B83" s="14" t="n"/>
      <c r="C83" s="61" t="n"/>
      <c r="D83" s="61" t="n"/>
      <c r="E83" s="61" t="n"/>
      <c r="F83" s="60" t="n"/>
      <c r="G83" s="24" t="n"/>
      <c r="H83" s="24" t="n"/>
      <c r="I83" s="24" t="n"/>
      <c r="J83" s="24" t="n"/>
      <c r="K83" s="24" t="n"/>
      <c r="L83" s="223">
        <f>LOOKUP(1000,INDIRECT("L1:"&amp;CELL("address",INDIRECT("R[-1]C",FALSE))))+1</f>
        <v/>
      </c>
      <c r="M83" s="301" t="inlineStr">
        <is>
          <t>Application framework construction</t>
        </is>
      </c>
      <c r="N83" s="302" t="n"/>
      <c r="O83" s="4" t="n"/>
      <c r="P83" s="25" t="n"/>
      <c r="Q83" s="25" t="n"/>
      <c r="R83" s="25" t="n"/>
      <c r="S83" s="25" t="n"/>
      <c r="T83" s="225">
        <f>IF($S$6="Exclude", SUMIFS(S84:S93, J84:J93, "&lt;&gt;Yes", G84:G93, "&lt;&gt;Yes"), SUMIFS(S84:S93, J84:J93, "&lt;&gt;Yes"))</f>
        <v/>
      </c>
      <c r="U83" s="25" t="n"/>
      <c r="V83" s="25" t="n"/>
      <c r="W83" s="25" t="n"/>
      <c r="X83" s="26" t="n"/>
      <c r="Y83" s="27" t="n"/>
      <c r="Z83" s="27" t="n"/>
      <c r="AA83" s="27" t="n"/>
      <c r="AB83" s="155" t="n"/>
      <c r="AC83" s="28" t="n"/>
      <c r="AD83" s="226">
        <f>IF(M83="", "Error: Task name cannot be empty.", "")</f>
        <v/>
      </c>
    </row>
    <row r="84" outlineLevel="2" ht="1.5" customFormat="1" customHeight="1" s="9">
      <c r="A84" s="212" t="inlineStr">
        <is>
          <t>T2</t>
        </is>
      </c>
      <c r="B84" s="14" t="n"/>
      <c r="C84" s="61" t="n"/>
      <c r="D84" s="61" t="n"/>
      <c r="E84" s="61" t="n"/>
      <c r="F84" s="60" t="n"/>
      <c r="G84" s="24" t="n"/>
      <c r="H84" s="24" t="n"/>
      <c r="I84" s="24" t="n"/>
      <c r="J84" s="24" t="n"/>
      <c r="K84" s="24" t="n"/>
      <c r="L84" s="227">
        <f>L83</f>
        <v/>
      </c>
      <c r="M84" s="228" t="inlineStr">
        <is>
          <t>X</t>
        </is>
      </c>
      <c r="N84" s="118" t="n"/>
      <c r="O84" s="119" t="n"/>
      <c r="P84" s="25" t="n"/>
      <c r="Q84" s="25" t="n"/>
      <c r="R84" s="25" t="n"/>
      <c r="S84" s="25" t="n"/>
      <c r="T84" s="114" t="n"/>
      <c r="U84" s="25" t="n"/>
      <c r="V84" s="25" t="n"/>
      <c r="W84" s="25" t="n"/>
      <c r="X84" s="26" t="n"/>
      <c r="Y84" s="27" t="n"/>
      <c r="Z84" s="27" t="n"/>
      <c r="AA84" s="27" t="n"/>
      <c r="AB84" s="28" t="n"/>
      <c r="AC84" s="28" t="n"/>
      <c r="AD84" s="19" t="n"/>
    </row>
    <row r="85" outlineLevel="2" ht="72.5" customHeight="1" s="337">
      <c r="A85" s="212" t="inlineStr">
        <is>
          <t>A</t>
        </is>
      </c>
      <c r="B85" s="14" t="n"/>
      <c r="C85" s="62" t="n"/>
      <c r="D85" s="62" t="n"/>
      <c r="E85" s="62" t="n"/>
      <c r="F85" s="63" t="n"/>
      <c r="G85" s="15" t="inlineStr">
        <is>
          <t>-</t>
        </is>
      </c>
      <c r="H85" s="15" t="inlineStr">
        <is>
          <t>-</t>
        </is>
      </c>
      <c r="I85" s="16" t="inlineStr">
        <is>
          <t>-</t>
        </is>
      </c>
      <c r="J85" s="15" t="inlineStr">
        <is>
          <t>-</t>
        </is>
      </c>
      <c r="K85" s="30" t="n"/>
      <c r="L85" s="15" t="n"/>
      <c r="M85" s="229">
        <f>IFERROR(OFFSET(M85,-1,,1,1)+0.1,OFFSET(M85,-1,-1,1,1)&amp;".1")</f>
        <v/>
      </c>
      <c r="N85" s="16" t="inlineStr">
        <is>
          <t>Multi-layered architecture:
&gt;&gt; DAL, ORM, BLL, Façade, WCF services and Presentation layer
&gt;&gt; Communication design across layers through interfaces and DTOs</t>
        </is>
      </c>
      <c r="O85" s="16" t="n"/>
      <c r="P85" s="16" t="n"/>
      <c r="Q85" s="100" t="n">
        <v>1</v>
      </c>
      <c r="R85" s="95" t="n"/>
      <c r="S85" s="230">
        <f>CEILING((IF(J85="Yes", 0, IF(H85="-",AA85,AA85+AA85*VLOOKUP(H85,BUFFERS_BY_TYPE,2,FALSE)))) +
   (IF(J85="Yes", 0, IF(H85="-",AA85,AA85+AA85*VLOOKUP(H85,BUFFERS_BY_TYPE,2,FALSE))))*VLOOKUP($S$5, SALES_CALL_SCALE_ARRAY, 2,FALSE),0.25)</f>
        <v/>
      </c>
      <c r="T85" s="116" t="n"/>
      <c r="U85" s="17" t="n">
        <v>0</v>
      </c>
      <c r="V85" s="17" t="n">
        <v>1</v>
      </c>
      <c r="W85" s="17" t="n">
        <v>0</v>
      </c>
      <c r="X85" s="115" t="n">
        <v>6</v>
      </c>
      <c r="Y85" s="230">
        <f>CEILING((IF(P85=AS_DEV_EFFORT, DEV_EFFORT*Q85%,
                           IF(P85=AS_DURATION_EFFORT, (MANUAL_DURATION*5)*Q85%,
                                    (IF(Q85&lt;=1,X85,
                                          IF(SUM(U85:W85)=0,(Q85*X85),
                                               (((Q85*U85)*(X85+(X85*EXTRA_FOR_H)))+
                                               ((Q85*V85)*X85)+
                                               ((Q85*W85)*(X85-(X85*LESS_FOR_L)))
                                    )*IF(R85=0,1,R85))))))+Z85), 0.25)</f>
        <v/>
      </c>
      <c r="Z85" s="18" t="n"/>
      <c r="AA85" s="230">
        <f>Y85+Y85*VLOOKUP(I85,EXTRAS_ARRAY,2,FALSE)</f>
        <v/>
      </c>
      <c r="AB85" s="16" t="inlineStr">
        <is>
          <t>Next.js 16 App Router + MUI 9 (Emotion 11 SSR via AppRouterCacheProvider), TanStack Query 5 client, server-only data layer + ApiError model (6 PDs).</t>
        </is>
      </c>
      <c r="AC85" s="29" t="n"/>
      <c r="AD85" s="226">
        <f>IF(J85&lt;&gt;"Yes",
IF(S85&lt;=0,"Error: Effort value is not defined or is invalid.",
IF(AND(SUM(U85:W85)&gt;0,SUM(U85:W85)&lt;&gt;1),"Error: Complexity % distribution should sum to 100%.",
IF(AND(P85=AS_DEV_EFFORT,X85&lt;&gt;0),"Error: PDs should not be defined when defining as dev effort %.",
IF(AND(P85=AS_DURATION_EFFORT,X85&lt;&gt;0),"Error: PDs should not be defined when defining as duration effort %.","")))))</f>
        <v/>
      </c>
    </row>
    <row r="86" outlineLevel="2" ht="43.5" customHeight="1" s="337">
      <c r="A86" s="212" t="inlineStr">
        <is>
          <t>A</t>
        </is>
      </c>
      <c r="B86" s="14" t="n"/>
      <c r="C86" s="62" t="n"/>
      <c r="D86" s="62" t="n"/>
      <c r="E86" s="62" t="n"/>
      <c r="F86" s="63" t="n"/>
      <c r="G86" s="15" t="inlineStr">
        <is>
          <t>-</t>
        </is>
      </c>
      <c r="H86" s="15" t="inlineStr">
        <is>
          <t>-</t>
        </is>
      </c>
      <c r="I86" s="16" t="inlineStr">
        <is>
          <t>-</t>
        </is>
      </c>
      <c r="J86" s="15" t="inlineStr">
        <is>
          <t>-</t>
        </is>
      </c>
      <c r="K86" s="30" t="n"/>
      <c r="L86" s="15" t="n"/>
      <c r="M86" s="229">
        <f>IFERROR(OFFSET(M86,-1,,1,1)+0.1,OFFSET(M86,-1,-1,1,1)&amp;".1")</f>
        <v/>
      </c>
      <c r="N86" s="16" t="inlineStr">
        <is>
          <t>X-cutting layers
&gt;&gt; Logging, Exception handling, caching, Resend email, rate limiting, etc.</t>
        </is>
      </c>
      <c r="O86" s="16" t="n"/>
      <c r="P86" s="16" t="n"/>
      <c r="Q86" s="100" t="n">
        <v>1</v>
      </c>
      <c r="R86" s="95" t="n"/>
      <c r="S86" s="230">
        <f>CEILING((IF(J86="Yes", 0, IF(H86="-",AA86,AA86+AA86*VLOOKUP(H86,BUFFERS_BY_TYPE,2,FALSE)))) +
(IF(J86="Yes", 0, IF(H86="-",AA86,AA86+AA86*VLOOKUP(H86,BUFFERS_BY_TYPE,2,FALSE))))*VLOOKUP($S$5, SALES_CALL_SCALE_ARRAY, 2,FALSE),0.25)</f>
        <v/>
      </c>
      <c r="T86" s="116" t="n"/>
      <c r="U86" s="17" t="n">
        <v>0</v>
      </c>
      <c r="V86" s="17" t="n">
        <v>1</v>
      </c>
      <c r="W86" s="17" t="n">
        <v>0</v>
      </c>
      <c r="X86" s="115" t="n">
        <v>4</v>
      </c>
      <c r="Y86" s="230">
        <f>CEILING((IF(P86=AS_DEV_EFFORT, DEV_EFFORT*Q86%,
IF(P86=AS_DURATION_EFFORT, (MANUAL_DURATION*5)*Q86%,
(IF(Q86&lt;=1,X86,
IF(SUM(U86:W86)=0,(Q86*X86),
(((Q86*U86)*(X86+(X86*EXTRA_FOR_H)))+
((Q86*V86)*X86)+
((Q86*W86)*(X86-(X86*LESS_FOR_L)))
)*IF(R86=0,1,R86))))))+Z86), 0.25)</f>
        <v/>
      </c>
      <c r="Z86" s="18" t="n"/>
      <c r="AA86" s="230">
        <f>Y86+Y86*VLOOKUP(I86,EXTRAS_ARRAY,2,FALSE)</f>
        <v/>
      </c>
      <c r="AB86" s="16" t="inlineStr">
        <is>
          <t>Cross-cutting: Sentry, GA4, New Relic, ApiError model, rate limiting, Zod 4 validation (4 PDs).</t>
        </is>
      </c>
      <c r="AC86" s="29" t="n"/>
      <c r="AD86" s="226">
        <f>IF(J86&lt;&gt;"Yes",
IF(S86&lt;=0,"Error: Effort value is not defined or is invalid.",
IF(AND(SUM(U86:W86)&gt;0,SUM(U86:W86)&lt;&gt;1),"Error: Complexity % distribution should sum to 100%.",
IF(AND(P86=AS_DEV_EFFORT,X86&lt;&gt;0),"Error: PDs should not be defined when defining as dev effort %.",
IF(AND(P86=AS_DURATION_EFFORT,X86&lt;&gt;0),"Error: PDs should not be defined when defining as duration effort %.","")))))</f>
        <v/>
      </c>
    </row>
    <row r="87" outlineLevel="2" ht="43.5" customHeight="1" s="337">
      <c r="A87" s="212" t="inlineStr">
        <is>
          <t>A</t>
        </is>
      </c>
      <c r="B87" s="14" t="n"/>
      <c r="C87" s="62" t="n"/>
      <c r="D87" s="62" t="n"/>
      <c r="E87" s="62" t="n"/>
      <c r="F87" s="63" t="n"/>
      <c r="G87" s="15" t="inlineStr">
        <is>
          <t>-</t>
        </is>
      </c>
      <c r="H87" s="15" t="inlineStr">
        <is>
          <t>-</t>
        </is>
      </c>
      <c r="I87" s="16" t="inlineStr">
        <is>
          <t>-</t>
        </is>
      </c>
      <c r="J87" s="15" t="inlineStr">
        <is>
          <t>-</t>
        </is>
      </c>
      <c r="K87" s="30" t="n"/>
      <c r="L87" s="15" t="n"/>
      <c r="M87" s="229">
        <f>IFERROR(OFFSET(M87,-1,,1,1)+0.1,OFFSET(M87,-1,-1,1,1)&amp;".1")</f>
        <v/>
      </c>
      <c r="N87" s="16" t="inlineStr">
        <is>
          <t>Security
&gt;&gt; Authentication, authorization framework</t>
        </is>
      </c>
      <c r="O87" s="16" t="n"/>
      <c r="P87" s="16" t="n"/>
      <c r="Q87" s="100" t="n">
        <v>1</v>
      </c>
      <c r="R87" s="95" t="n"/>
      <c r="S87" s="230">
        <f>CEILING((IF(J87="Yes", 0, IF(H87="-",AA87,AA87+AA87*VLOOKUP(H87,BUFFERS_BY_TYPE,2,FALSE)))) +
(IF(J87="Yes", 0, IF(H87="-",AA87,AA87+AA87*VLOOKUP(H87,BUFFERS_BY_TYPE,2,FALSE))))*VLOOKUP($S$5, SALES_CALL_SCALE_ARRAY, 2,FALSE),0.25)</f>
        <v/>
      </c>
      <c r="T87" s="116" t="n"/>
      <c r="U87" s="17" t="n">
        <v>0</v>
      </c>
      <c r="V87" s="17" t="n">
        <v>1</v>
      </c>
      <c r="W87" s="17" t="n">
        <v>0</v>
      </c>
      <c r="X87" s="115" t="n">
        <v>4</v>
      </c>
      <c r="Y87" s="230">
        <f>CEILING((IF(P87=AS_DEV_EFFORT, DEV_EFFORT*Q87%,
IF(P87=AS_DURATION_EFFORT, (MANUAL_DURATION*5)*Q87%,
(IF(Q87&lt;=1,X87,
IF(SUM(U87:W87)=0,(Q87*X87),
(((Q87*U87)*(X87+(X87*EXTRA_FOR_H)))+
((Q87*V87)*X87)+
((Q87*W87)*(X87-(X87*LESS_FOR_L)))
)*IF(R87=0,1,R87))))))+Z87), 0.25)</f>
        <v/>
      </c>
      <c r="Z87" s="18" t="n"/>
      <c r="AA87" s="230">
        <f>Y87+Y87*VLOOKUP(I87,EXTRAS_ARRAY,2,FALSE)</f>
        <v/>
      </c>
      <c r="AB87" s="16" t="inlineStr">
        <is>
          <t>NextAuth v5 with Credentials (bcryptjs) + Google / GitHub / Facebook / Apple OAuth, Edge proxy guarding /account (4 PDs).</t>
        </is>
      </c>
      <c r="AC87" s="29" t="n"/>
      <c r="AD87" s="226">
        <f>IF(J87&lt;&gt;"Yes",
IF(S87&lt;=0,"Error: Effort value is not defined or is invalid.",
IF(AND(SUM(U87:W87)&gt;0,SUM(U87:W87)&lt;&gt;1),"Error: Complexity % distribution should sum to 100%.",
IF(AND(P87=AS_DEV_EFFORT,X87&lt;&gt;0),"Error: PDs should not be defined when defining as dev effort %.",
IF(AND(P87=AS_DURATION_EFFORT,X87&lt;&gt;0),"Error: PDs should not be defined when defining as duration effort %.","")))))</f>
        <v/>
      </c>
    </row>
    <row r="88" outlineLevel="2" ht="43.5" customHeight="1" s="337">
      <c r="A88" s="212" t="inlineStr">
        <is>
          <t>A</t>
        </is>
      </c>
      <c r="B88" s="14" t="n"/>
      <c r="C88" s="62" t="n"/>
      <c r="D88" s="62" t="n"/>
      <c r="E88" s="62" t="n"/>
      <c r="F88" s="63" t="n"/>
      <c r="G88" s="15" t="inlineStr">
        <is>
          <t>-</t>
        </is>
      </c>
      <c r="H88" s="15" t="inlineStr">
        <is>
          <t>-</t>
        </is>
      </c>
      <c r="I88" s="16" t="inlineStr">
        <is>
          <t>-</t>
        </is>
      </c>
      <c r="J88" s="15" t="inlineStr">
        <is>
          <t>-</t>
        </is>
      </c>
      <c r="K88" s="30" t="n"/>
      <c r="L88" s="15" t="n"/>
      <c r="M88" s="229">
        <f>IFERROR(OFFSET(M88,-1,,1,1)+0.1,OFFSET(M88,-1,-1,1,1)&amp;".1")</f>
        <v/>
      </c>
      <c r="N88" s="16" t="inlineStr">
        <is>
          <t>Multi-lingual support</t>
        </is>
      </c>
      <c r="O88" s="16" t="n"/>
      <c r="P88" s="16" t="n"/>
      <c r="Q88" s="100" t="n">
        <v>1</v>
      </c>
      <c r="R88" s="95" t="n"/>
      <c r="S88" s="230">
        <f>CEILING((IF(J88="Yes", 0, IF(H88="-",AA88,AA88+AA88*VLOOKUP(H88,BUFFERS_BY_TYPE,2,FALSE)))) +
(IF(J88="Yes", 0, IF(H88="-",AA88,AA88+AA88*VLOOKUP(H88,BUFFERS_BY_TYPE,2,FALSE))))*VLOOKUP($S$5, SALES_CALL_SCALE_ARRAY, 2,FALSE),0.25)</f>
        <v/>
      </c>
      <c r="T88" s="116" t="n"/>
      <c r="U88" s="17" t="n">
        <v>0</v>
      </c>
      <c r="V88" s="17" t="n">
        <v>1</v>
      </c>
      <c r="W88" s="17" t="n">
        <v>0</v>
      </c>
      <c r="X88" s="115" t="n">
        <v>1</v>
      </c>
      <c r="Y88" s="230">
        <f>CEILING((IF(P88=AS_DEV_EFFORT, DEV_EFFORT*Q88%,
IF(P88=AS_DURATION_EFFORT, (MANUAL_DURATION*5)*Q88%,
(IF(Q88&lt;=1,X88,
IF(SUM(U88:W88)=0,(Q88*X88),
(((Q88*U88)*(X88+(X88*EXTRA_FOR_H)))+
((Q88*V88)*X88)+
((Q88*W88)*(X88-(X88*LESS_FOR_L)))
)*IF(R88=0,1,R88))))))+Z88), 0.25)</f>
        <v/>
      </c>
      <c r="Z88" s="18" t="n"/>
      <c r="AA88" s="230">
        <f>Y88+Y88*VLOOKUP(I88,EXTRAS_ARRAY,2,FALSE)</f>
        <v/>
      </c>
      <c r="AB88" s="16" t="inlineStr">
        <is>
          <t>Basic i18n scaffolding (en) with helper modules; full localisation deferred to Phase 3 (1 PD).</t>
        </is>
      </c>
      <c r="AC88" s="29" t="n"/>
      <c r="AD88" s="226">
        <f>IF(J88&lt;&gt;"Yes",
IF(S88&lt;=0,"Error: Effort value is not defined or is invalid.",
IF(AND(SUM(U88:W88)&gt;0,SUM(U88:W88)&lt;&gt;1),"Error: Complexity % distribution should sum to 100%.",
IF(AND(P88=AS_DEV_EFFORT,X88&lt;&gt;0),"Error: PDs should not be defined when defining as dev effort %.",
IF(AND(P88=AS_DURATION_EFFORT,X88&lt;&gt;0),"Error: PDs should not be defined when defining as duration effort %.","")))))</f>
        <v/>
      </c>
    </row>
    <row r="89" outlineLevel="2" ht="43.5" customHeight="1" s="337">
      <c r="A89" s="212" t="inlineStr">
        <is>
          <t>A</t>
        </is>
      </c>
      <c r="B89" s="14" t="n"/>
      <c r="C89" s="62" t="n"/>
      <c r="D89" s="62" t="n"/>
      <c r="E89" s="62" t="n"/>
      <c r="F89" s="63" t="n"/>
      <c r="G89" s="15" t="inlineStr">
        <is>
          <t>-</t>
        </is>
      </c>
      <c r="H89" s="15" t="inlineStr">
        <is>
          <t>-</t>
        </is>
      </c>
      <c r="I89" s="16" t="inlineStr">
        <is>
          <t>-</t>
        </is>
      </c>
      <c r="J89" s="15" t="inlineStr">
        <is>
          <t>-</t>
        </is>
      </c>
      <c r="K89" s="30" t="n"/>
      <c r="L89" s="15" t="n"/>
      <c r="M89" s="229">
        <f>IFERROR(OFFSET(M89,-1,,1,1)+0.1,OFFSET(M89,-1,-1,1,1)&amp;".1")</f>
        <v/>
      </c>
      <c r="N89" s="16" t="inlineStr">
        <is>
          <t>Integration adaptor framework</t>
        </is>
      </c>
      <c r="O89" s="16" t="n"/>
      <c r="P89" s="16" t="n"/>
      <c r="Q89" s="100" t="n">
        <v>1</v>
      </c>
      <c r="R89" s="95" t="n"/>
      <c r="S89" s="230">
        <f>CEILING((IF(J89="Yes", 0, IF(H89="-",AA89,AA89+AA89*VLOOKUP(H89,BUFFERS_BY_TYPE,2,FALSE)))) +
(IF(J89="Yes", 0, IF(H89="-",AA89,AA89+AA89*VLOOKUP(H89,BUFFERS_BY_TYPE,2,FALSE))))*VLOOKUP($S$5, SALES_CALL_SCALE_ARRAY, 2,FALSE),0.25)</f>
        <v/>
      </c>
      <c r="T89" s="116" t="n"/>
      <c r="U89" s="17" t="n">
        <v>0</v>
      </c>
      <c r="V89" s="17" t="n">
        <v>1</v>
      </c>
      <c r="W89" s="17" t="n">
        <v>0</v>
      </c>
      <c r="X89" s="115" t="n">
        <v>3</v>
      </c>
      <c r="Y89" s="230">
        <f>CEILING((IF(P89=AS_DEV_EFFORT, DEV_EFFORT*Q89%,
IF(P89=AS_DURATION_EFFORT, (MANUAL_DURATION*5)*Q89%,
(IF(Q89&lt;=1,X89,
IF(SUM(U89:W89)=0,(Q89*X89),
(((Q89*U89)*(X89+(X89*EXTRA_FOR_H)))+
((Q89*V89)*X89)+
((Q89*W89)*(X89-(X89*LESS_FOR_L)))
)*IF(R89=0,1,R89))))))+Z89), 0.25)</f>
        <v/>
      </c>
      <c r="Z89" s="18" t="n"/>
      <c r="AA89" s="230">
        <f>Y89+Y89*VLOOKUP(I89,EXTRAS_ARRAY,2,FALSE)</f>
        <v/>
      </c>
      <c r="AB89" s="16" t="inlineStr">
        <is>
          <t>Integration adapters for Stripe (Checkout + webhook), OAuth providers, Resend transactional email, optional Elastic Cloud, and Phase-3 inventory feed (3 PDs).</t>
        </is>
      </c>
      <c r="AC89" s="29" t="n"/>
      <c r="AD89" s="226">
        <f>IF(J89&lt;&gt;"Yes",
IF(S89&lt;=0,"Error: Effort value is not defined or is invalid.",
IF(AND(SUM(U89:W89)&gt;0,SUM(U89:W89)&lt;&gt;1),"Error: Complexity % distribution should sum to 100%.",
IF(AND(P89=AS_DEV_EFFORT,X89&lt;&gt;0),"Error: PDs should not be defined when defining as dev effort %.",
IF(AND(P89=AS_DURATION_EFFORT,X89&lt;&gt;0),"Error: PDs should not be defined when defining as duration effort %.","")))))</f>
        <v/>
      </c>
    </row>
    <row r="90" outlineLevel="2" ht="43.5" customHeight="1" s="337">
      <c r="A90" s="212" t="inlineStr">
        <is>
          <t>A</t>
        </is>
      </c>
      <c r="B90" s="14" t="n"/>
      <c r="C90" s="62" t="n"/>
      <c r="D90" s="62" t="n"/>
      <c r="E90" s="62" t="n"/>
      <c r="F90" s="63" t="n"/>
      <c r="G90" s="15" t="inlineStr">
        <is>
          <t>-</t>
        </is>
      </c>
      <c r="H90" s="15" t="inlineStr">
        <is>
          <t>-</t>
        </is>
      </c>
      <c r="I90" s="16" t="inlineStr">
        <is>
          <t>-</t>
        </is>
      </c>
      <c r="J90" s="15" t="inlineStr">
        <is>
          <t>-</t>
        </is>
      </c>
      <c r="K90" s="30" t="n"/>
      <c r="L90" s="15" t="n"/>
      <c r="M90" s="229">
        <f>IFERROR(OFFSET(M90,-1,,1,1)+0.1,OFFSET(M90,-1,-1,1,1)&amp;".1")</f>
        <v/>
      </c>
      <c r="N90" s="16" t="inlineStr">
        <is>
          <t>Schedular service</t>
        </is>
      </c>
      <c r="O90" s="16" t="n"/>
      <c r="P90" s="16" t="n"/>
      <c r="Q90" s="100" t="n">
        <v>1</v>
      </c>
      <c r="R90" s="95" t="n"/>
      <c r="S90" s="230">
        <f>CEILING((IF(J90="Yes", 0, IF(H90="-",AA90,AA90+AA90*VLOOKUP(H90,BUFFERS_BY_TYPE,2,FALSE)))) +
(IF(J90="Yes", 0, IF(H90="-",AA90,AA90+AA90*VLOOKUP(H90,BUFFERS_BY_TYPE,2,FALSE))))*VLOOKUP($S$5, SALES_CALL_SCALE_ARRAY, 2,FALSE),0.25)</f>
        <v/>
      </c>
      <c r="T90" s="116" t="n"/>
      <c r="U90" s="17" t="n">
        <v>0</v>
      </c>
      <c r="V90" s="17" t="n">
        <v>1</v>
      </c>
      <c r="W90" s="17" t="n">
        <v>0</v>
      </c>
      <c r="X90" s="115" t="n">
        <v>1</v>
      </c>
      <c r="Y90" s="230">
        <f>CEILING((IF(P90=AS_DEV_EFFORT, DEV_EFFORT*Q90%,
IF(P90=AS_DURATION_EFFORT, (MANUAL_DURATION*5)*Q90%,
(IF(Q90&lt;=1,X90,
IF(SUM(U90:W90)=0,(Q90*X90),
(((Q90*U90)*(X90+(X90*EXTRA_FOR_H)))+
((Q90*V90)*X90)+
((Q90*W90)*(X90-(X90*LESS_FOR_L)))
)*IF(R90=0,1,R90))))))+Z90), 0.25)</f>
        <v/>
      </c>
      <c r="Z90" s="18" t="n"/>
      <c r="AA90" s="230">
        <f>Y90+Y90*VLOOKUP(I90,EXTRAS_ARRAY,2,FALSE)</f>
        <v/>
      </c>
      <c r="AB90" s="16" t="inlineStr">
        <is>
          <t>Scheduler service for coupon expiry sweeps + order-sync fallback jobs (1 PD).</t>
        </is>
      </c>
      <c r="AC90" s="29" t="n"/>
      <c r="AD90" s="226">
        <f>IF(J90&lt;&gt;"Yes",
IF(S90&lt;=0,"Error: Effort value is not defined or is invalid.",
IF(AND(SUM(U90:W90)&gt;0,SUM(U90:W90)&lt;&gt;1),"Error: Complexity % distribution should sum to 100%.",
IF(AND(P90=AS_DEV_EFFORT,X90&lt;&gt;0),"Error: PDs should not be defined when defining as dev effort %.",
IF(AND(P90=AS_DURATION_EFFORT,X90&lt;&gt;0),"Error: PDs should not be defined when defining as duration effort %.","")))))</f>
        <v/>
      </c>
    </row>
    <row r="91" outlineLevel="2" ht="43.5" customHeight="1" s="337">
      <c r="A91" s="212" t="inlineStr">
        <is>
          <t>A</t>
        </is>
      </c>
      <c r="B91" s="14" t="n"/>
      <c r="C91" s="62" t="n"/>
      <c r="D91" s="62" t="n"/>
      <c r="E91" s="62" t="n"/>
      <c r="F91" s="63" t="n"/>
      <c r="G91" s="15" t="inlineStr">
        <is>
          <t>-</t>
        </is>
      </c>
      <c r="H91" s="15" t="inlineStr">
        <is>
          <t>-</t>
        </is>
      </c>
      <c r="I91" s="16" t="inlineStr">
        <is>
          <t>-</t>
        </is>
      </c>
      <c r="J91" s="15" t="inlineStr">
        <is>
          <t>-</t>
        </is>
      </c>
      <c r="K91" s="30" t="n"/>
      <c r="L91" s="15" t="n"/>
      <c r="M91" s="229">
        <f>IFERROR(OFFSET(M91,-1,,1,1)+0.1,OFFSET(M91,-1,-1,1,1)&amp;".1")</f>
        <v/>
      </c>
      <c r="N91" s="16" t="inlineStr">
        <is>
          <t>UI Navigation framework</t>
        </is>
      </c>
      <c r="O91" s="16" t="n"/>
      <c r="P91" s="16" t="n"/>
      <c r="Q91" s="100" t="n">
        <v>1</v>
      </c>
      <c r="R91" s="95" t="n"/>
      <c r="S91" s="230">
        <f>CEILING((IF(J91="Yes", 0, IF(H91="-",AA91,AA91+AA91*VLOOKUP(H91,BUFFERS_BY_TYPE,2,FALSE)))) +
(IF(J91="Yes", 0, IF(H91="-",AA91,AA91+AA91*VLOOKUP(H91,BUFFERS_BY_TYPE,2,FALSE))))*VLOOKUP($S$5, SALES_CALL_SCALE_ARRAY, 2,FALSE),0.25)</f>
        <v/>
      </c>
      <c r="T91" s="116" t="n"/>
      <c r="U91" s="17" t="n">
        <v>0</v>
      </c>
      <c r="V91" s="17" t="n">
        <v>1</v>
      </c>
      <c r="W91" s="17" t="n">
        <v>0</v>
      </c>
      <c r="X91" s="115" t="n">
        <v>5</v>
      </c>
      <c r="Y91" s="230">
        <f>CEILING((IF(P91=AS_DEV_EFFORT, DEV_EFFORT*Q91%,
IF(P91=AS_DURATION_EFFORT, (MANUAL_DURATION*5)*Q91%,
(IF(Q91&lt;=1,X91,
IF(SUM(U91:W91)=0,(Q91*X91),
(((Q91*U91)*(X91+(X91*EXTRA_FOR_H)))+
((Q91*V91)*X91)+
((Q91*W91)*(X91-(X91*LESS_FOR_L)))
)*IF(R91=0,1,R91))))))+Z91), 0.25)</f>
        <v/>
      </c>
      <c r="Z91" s="18" t="n"/>
      <c r="AA91" s="230">
        <f>Y91+Y91*VLOOKUP(I91,EXTRAS_ARRAY,2,FALSE)</f>
        <v/>
      </c>
      <c r="AB91" s="16" t="inlineStr">
        <is>
          <t>App Router navigation: route groups, parallel routes, proxy middleware, route-level loading.tsx and error.tsx (5 PDs).</t>
        </is>
      </c>
      <c r="AC91" s="29" t="n"/>
      <c r="AD91" s="226">
        <f>IF(J91&lt;&gt;"Yes",
IF(S91&lt;=0,"Error: Effort value is not defined or is invalid.",
IF(AND(SUM(U91:W91)&gt;0,SUM(U91:W91)&lt;&gt;1),"Error: Complexity % distribution should sum to 100%.",
IF(AND(P91=AS_DEV_EFFORT,X91&lt;&gt;0),"Error: PDs should not be defined when defining as dev effort %.",
IF(AND(P91=AS_DURATION_EFFORT,X91&lt;&gt;0),"Error: PDs should not be defined when defining as duration effort %.","")))))</f>
        <v/>
      </c>
    </row>
    <row r="92" outlineLevel="2" ht="43.5" customHeight="1" s="337">
      <c r="A92" s="212" t="inlineStr">
        <is>
          <t>A</t>
        </is>
      </c>
      <c r="B92" s="14" t="n"/>
      <c r="C92" s="62" t="n"/>
      <c r="D92" s="62" t="n"/>
      <c r="E92" s="62" t="n"/>
      <c r="F92" s="63" t="n"/>
      <c r="G92" s="15" t="inlineStr">
        <is>
          <t>-</t>
        </is>
      </c>
      <c r="H92" s="15" t="inlineStr">
        <is>
          <t>-</t>
        </is>
      </c>
      <c r="I92" s="16" t="inlineStr">
        <is>
          <t>-</t>
        </is>
      </c>
      <c r="J92" s="15" t="inlineStr">
        <is>
          <t>-</t>
        </is>
      </c>
      <c r="K92" s="30" t="n"/>
      <c r="L92" s="15" t="n"/>
      <c r="M92" s="229">
        <f>IFERROR(OFFSET(M92,-1,,1,1)+0.1,OFFSET(M92,-1,-1,1,1)&amp;".1")</f>
        <v/>
      </c>
      <c r="N92" s="16" t="inlineStr">
        <is>
          <t>Workflow management framework</t>
        </is>
      </c>
      <c r="O92" s="16" t="n"/>
      <c r="P92" s="16" t="n"/>
      <c r="Q92" s="100" t="n">
        <v>1</v>
      </c>
      <c r="R92" s="95" t="n"/>
      <c r="S92" s="230">
        <f>CEILING((IF(J92="Yes", 0, IF(H92="-",AA92,AA92+AA92*VLOOKUP(H92,BUFFERS_BY_TYPE,2,FALSE)))) +
(IF(J92="Yes", 0, IF(H92="-",AA92,AA92+AA92*VLOOKUP(H92,BUFFERS_BY_TYPE,2,FALSE))))*VLOOKUP($S$5, SALES_CALL_SCALE_ARRAY, 2,FALSE),0.25)</f>
        <v/>
      </c>
      <c r="T92" s="116" t="n"/>
      <c r="U92" s="17" t="n">
        <v>0</v>
      </c>
      <c r="V92" s="17" t="n">
        <v>1</v>
      </c>
      <c r="W92" s="17" t="n">
        <v>0</v>
      </c>
      <c r="X92" s="115" t="n">
        <v>5</v>
      </c>
      <c r="Y92" s="230">
        <f>CEILING((IF(P92=AS_DEV_EFFORT, DEV_EFFORT*Q92%,
IF(P92=AS_DURATION_EFFORT, (MANUAL_DURATION*5)*Q92%,
(IF(Q92&lt;=1,X92,
IF(SUM(U92:W92)=0,(Q92*X92),
(((Q92*U92)*(X92+(X92*EXTRA_FOR_H)))+
((Q92*V92)*X92)+
((Q92*W92)*(X92-(X92*LESS_FOR_L)))
)*IF(R92=0,1,R92))))))+Z92), 0.25)</f>
        <v/>
      </c>
      <c r="Z92" s="18" t="n"/>
      <c r="AA92" s="230">
        <f>Y92+Y92*VLOOKUP(I92,EXTRAS_ARRAY,2,FALSE)</f>
        <v/>
      </c>
      <c r="AB92" s="16" t="inlineStr">
        <is>
          <t>Checkout + order lifecycle workflow: cart → Stripe Checkout → webhook → order + Resend confirmation email, with /api/orders/sync fallback (5 PDs).</t>
        </is>
      </c>
      <c r="AC92" s="29" t="n"/>
      <c r="AD92" s="226">
        <f>IF(J92&lt;&gt;"Yes",
IF(S92&lt;=0,"Error: Effort value is not defined or is invalid.",
IF(AND(SUM(U92:W92)&gt;0,SUM(U92:W92)&lt;&gt;1),"Error: Complexity % distribution should sum to 100%.",
IF(AND(P92=AS_DEV_EFFORT,X92&lt;&gt;0),"Error: PDs should not be defined when defining as dev effort %.",
IF(AND(P92=AS_DURATION_EFFORT,X92&lt;&gt;0),"Error: PDs should not be defined when defining as duration effort %.","")))))</f>
        <v/>
      </c>
    </row>
    <row r="93" outlineLevel="2" ht="7.5" customFormat="1" customHeight="1" s="294">
      <c r="A93" s="212" t="inlineStr">
        <is>
          <t>T3</t>
        </is>
      </c>
      <c r="B93" s="12" t="n"/>
      <c r="C93" s="56" t="n"/>
      <c r="D93" s="56" t="n"/>
      <c r="E93" s="56" t="n"/>
      <c r="F93" s="56" t="n"/>
      <c r="M93" s="180" t="n"/>
      <c r="T93" s="12" t="n"/>
      <c r="X93" s="12" t="n"/>
      <c r="AB93" s="7" t="n"/>
      <c r="AC93" s="7" t="n"/>
      <c r="AD93" s="7" t="n"/>
    </row>
    <row r="94" outlineLevel="1" ht="3" customFormat="1" customHeight="1" s="294">
      <c r="A94" s="212" t="inlineStr">
        <is>
          <t>S3</t>
        </is>
      </c>
      <c r="C94" s="56" t="n"/>
      <c r="D94" s="56" t="n"/>
      <c r="E94" s="56" t="n"/>
      <c r="F94" s="56" t="n"/>
      <c r="G94" s="21" t="n"/>
      <c r="H94" s="21" t="n"/>
      <c r="I94" s="21" t="n"/>
      <c r="J94" s="21" t="n"/>
      <c r="K94" s="21" t="n"/>
      <c r="L94" s="48" t="n"/>
      <c r="M94" s="189" t="n"/>
      <c r="N94" s="49" t="n"/>
      <c r="O94" s="49" t="n"/>
      <c r="P94" s="48" t="n"/>
      <c r="Q94" s="48" t="n"/>
      <c r="R94" s="48" t="n"/>
      <c r="S94" s="48" t="n"/>
      <c r="T94" s="48" t="n"/>
      <c r="U94" s="48" t="n"/>
      <c r="V94" s="48" t="n"/>
      <c r="W94" s="48" t="n"/>
      <c r="X94" s="48" t="n"/>
      <c r="Y94" s="48" t="n"/>
      <c r="Z94" s="48" t="n"/>
      <c r="AA94" s="48" t="n"/>
      <c r="AB94" s="49" t="n"/>
      <c r="AC94" s="49" t="n"/>
      <c r="AD94" s="7" t="n"/>
    </row>
    <row r="95" ht="18.5" customFormat="1" customHeight="1" s="298">
      <c r="A95" s="212" t="inlineStr">
        <is>
          <t>S1</t>
        </is>
      </c>
      <c r="B95" s="9" t="n"/>
      <c r="C95" s="57" t="n"/>
      <c r="D95" s="57" t="n"/>
      <c r="E95" s="57" t="n"/>
      <c r="F95" s="56" t="n"/>
      <c r="G95" s="44" t="n"/>
      <c r="H95" s="44" t="n"/>
      <c r="I95" s="44" t="n"/>
      <c r="J95" s="44" t="n"/>
      <c r="K95" s="44" t="n"/>
      <c r="L95" s="44" t="inlineStr">
        <is>
          <t>C</t>
        </is>
      </c>
      <c r="M95" s="187" t="inlineStr">
        <is>
          <t>Development and Unit Testing</t>
        </is>
      </c>
      <c r="N95" s="45" t="n"/>
      <c r="O95" s="46" t="n"/>
      <c r="P95" s="47" t="n"/>
      <c r="Q95" s="47" t="n"/>
      <c r="R95" s="47" t="n"/>
      <c r="S95" s="350">
        <f>CEILING(SUMIF(J96:J134, "&lt;&gt;Yes", T96:T134),1)</f>
        <v/>
      </c>
      <c r="T95" s="302" t="n"/>
      <c r="U95" s="47" t="n"/>
      <c r="V95" s="47" t="n"/>
      <c r="W95" s="47" t="n"/>
      <c r="X95" s="351" t="n"/>
      <c r="Y95" s="351" t="n"/>
      <c r="Z95" s="47" t="n"/>
      <c r="AA95" s="351" t="n"/>
      <c r="AB95" s="47" t="n"/>
      <c r="AC95" s="47" t="n"/>
      <c r="AD95" s="10" t="n"/>
    </row>
    <row r="96" outlineLevel="1" ht="3" customFormat="1" customHeight="1" s="294">
      <c r="A96" s="212" t="inlineStr">
        <is>
          <t>S2</t>
        </is>
      </c>
      <c r="B96" s="12" t="n"/>
      <c r="C96" s="56" t="n"/>
      <c r="D96" s="56" t="n"/>
      <c r="E96" s="56" t="n"/>
      <c r="F96" s="56" t="n"/>
      <c r="G96" s="21" t="n"/>
      <c r="H96" s="21" t="n"/>
      <c r="I96" s="21" t="n"/>
      <c r="J96" s="21" t="n"/>
      <c r="K96" s="21" t="n"/>
      <c r="L96" s="53" t="n">
        <v>0</v>
      </c>
      <c r="M96" s="188" t="n"/>
      <c r="N96" s="21" t="n"/>
      <c r="O96" s="21" t="n"/>
      <c r="P96" s="21" t="n"/>
      <c r="Q96" s="21" t="n"/>
      <c r="R96" s="21" t="n"/>
      <c r="S96" s="21" t="n"/>
      <c r="T96" s="22" t="n"/>
      <c r="U96" s="21" t="n"/>
      <c r="V96" s="21" t="n"/>
      <c r="W96" s="21" t="n"/>
      <c r="X96" s="22" t="n"/>
      <c r="Y96" s="21" t="n"/>
      <c r="Z96" s="21" t="n"/>
      <c r="AA96" s="21" t="n"/>
      <c r="AB96" s="23" t="n"/>
      <c r="AC96" s="23" t="n"/>
      <c r="AD96" s="7" t="n"/>
    </row>
    <row r="97" outlineLevel="1" ht="15.5" customFormat="1" customHeight="1" s="298">
      <c r="A97" s="212" t="inlineStr">
        <is>
          <t>T1</t>
        </is>
      </c>
      <c r="B97" s="14" t="n"/>
      <c r="C97" s="61" t="n"/>
      <c r="D97" s="61" t="n"/>
      <c r="E97" s="61" t="n"/>
      <c r="F97" s="60" t="n"/>
      <c r="G97" s="24" t="n"/>
      <c r="H97" s="24" t="n"/>
      <c r="I97" s="24" t="n"/>
      <c r="J97" s="24" t="n"/>
      <c r="K97" s="24" t="n"/>
      <c r="L97" s="223">
        <f>LOOKUP(1000,INDIRECT("L1:"&amp;CELL("address",INDIRECT("R[-1]C",FALSE))))+1</f>
        <v/>
      </c>
      <c r="M97" s="301" t="inlineStr">
        <is>
          <t>Development environment and team ramp-up</t>
        </is>
      </c>
      <c r="N97" s="302" t="n"/>
      <c r="O97" s="4" t="n"/>
      <c r="P97" s="25" t="n"/>
      <c r="Q97" s="25" t="n"/>
      <c r="R97" s="25" t="n"/>
      <c r="S97" s="25" t="n"/>
      <c r="T97" s="225">
        <f>IF($S$6="Exclude", SUMIFS(S98:S103, J98:J103, "&lt;&gt;Yes", G98:G103, "&lt;&gt;Yes"), SUMIFS(S98:S103, J98:J103, "&lt;&gt;Yes"))</f>
        <v/>
      </c>
      <c r="U97" s="25" t="n"/>
      <c r="V97" s="25" t="n"/>
      <c r="W97" s="25" t="n"/>
      <c r="X97" s="26" t="n"/>
      <c r="Y97" s="27" t="n"/>
      <c r="Z97" s="27" t="n"/>
      <c r="AA97" s="27" t="n"/>
      <c r="AB97" s="155" t="n"/>
      <c r="AC97" s="28" t="n"/>
      <c r="AD97" s="226">
        <f>IF(M97="", "Error: Task name cannot be empty.", "")</f>
        <v/>
      </c>
    </row>
    <row r="98" outlineLevel="2" ht="1.5" customFormat="1" customHeight="1" s="9">
      <c r="A98" s="212" t="inlineStr">
        <is>
          <t>T2</t>
        </is>
      </c>
      <c r="B98" s="14" t="n"/>
      <c r="C98" s="61" t="n"/>
      <c r="D98" s="61" t="n"/>
      <c r="E98" s="61" t="n"/>
      <c r="F98" s="60" t="n"/>
      <c r="G98" s="24" t="n"/>
      <c r="H98" s="24" t="n"/>
      <c r="I98" s="24" t="n"/>
      <c r="J98" s="24" t="n"/>
      <c r="K98" s="24" t="n"/>
      <c r="L98" s="227">
        <f>L97</f>
        <v/>
      </c>
      <c r="M98" s="228" t="inlineStr">
        <is>
          <t>X</t>
        </is>
      </c>
      <c r="N98" s="118" t="n"/>
      <c r="O98" s="119" t="n"/>
      <c r="P98" s="25" t="n"/>
      <c r="Q98" s="25" t="n"/>
      <c r="R98" s="25" t="n"/>
      <c r="S98" s="25" t="n"/>
      <c r="T98" s="114" t="n"/>
      <c r="U98" s="25" t="n"/>
      <c r="V98" s="25" t="n"/>
      <c r="W98" s="25" t="n"/>
      <c r="X98" s="26" t="n"/>
      <c r="Y98" s="27" t="n"/>
      <c r="Z98" s="27" t="n"/>
      <c r="AA98" s="27" t="n"/>
      <c r="AB98" s="28" t="n"/>
      <c r="AC98" s="28" t="n"/>
      <c r="AD98" s="19" t="n"/>
    </row>
    <row r="99" outlineLevel="2" ht="43.5" customHeight="1" s="337">
      <c r="A99" s="212" t="inlineStr">
        <is>
          <t>A</t>
        </is>
      </c>
      <c r="B99" s="14" t="n"/>
      <c r="C99" s="62" t="n"/>
      <c r="D99" s="62" t="n"/>
      <c r="E99" s="62" t="n"/>
      <c r="F99" s="63" t="n"/>
      <c r="G99" s="15" t="inlineStr">
        <is>
          <t>-</t>
        </is>
      </c>
      <c r="H99" s="15" t="inlineStr">
        <is>
          <t>-</t>
        </is>
      </c>
      <c r="I99" s="16" t="inlineStr">
        <is>
          <t>-</t>
        </is>
      </c>
      <c r="J99" s="15" t="inlineStr">
        <is>
          <t>-</t>
        </is>
      </c>
      <c r="K99" s="30" t="n"/>
      <c r="L99" s="15" t="n"/>
      <c r="M99" s="229">
        <f>IFERROR(OFFSET(M99,-1,,1,1)+0.1,OFFSET(M99,-1,-1,1,1)&amp;".1")</f>
        <v/>
      </c>
      <c r="N99" s="16" t="inlineStr">
        <is>
          <t>SRS knowledge transfer to team members</t>
        </is>
      </c>
      <c r="O99" s="16" t="n"/>
      <c r="P99" s="16" t="n"/>
      <c r="Q99" s="100" t="n">
        <v>1</v>
      </c>
      <c r="R99" s="95" t="n"/>
      <c r="S99" s="230">
        <f>CEILING((IF(J99="Yes", 0, IF(H99="-",AA99,AA99+AA99*VLOOKUP(H99,BUFFERS_BY_TYPE,2,FALSE)))) +
   (IF(J99="Yes", 0, IF(H99="-",AA99,AA99+AA99*VLOOKUP(H99,BUFFERS_BY_TYPE,2,FALSE))))*VLOOKUP($S$5, SALES_CALL_SCALE_ARRAY, 2,FALSE),0.25)</f>
        <v/>
      </c>
      <c r="T99" s="116" t="n"/>
      <c r="U99" s="17" t="n">
        <v>0</v>
      </c>
      <c r="V99" s="17" t="n">
        <v>1</v>
      </c>
      <c r="W99" s="17" t="n">
        <v>0</v>
      </c>
      <c r="X99" s="115" t="n">
        <v>2</v>
      </c>
      <c r="Y99" s="230">
        <f>CEILING((IF(P99=AS_DEV_EFFORT, DEV_EFFORT*Q99%,
                           IF(P99=AS_DURATION_EFFORT, (MANUAL_DURATION*5)*Q99%,
                                    (IF(Q99&lt;=1,X99,
                                          IF(SUM(U99:W99)=0,(Q99*X99),
                                               (((Q99*U99)*(X99+(X99*EXTRA_FOR_H)))+
                                               ((Q99*V99)*X99)+
                                               ((Q99*W99)*(X99-(X99*LESS_FOR_L)))
                                    )*IF(R99=0,1,R99))))))+Z99), 0.25)</f>
        <v/>
      </c>
      <c r="Z99" s="18" t="n"/>
      <c r="AA99" s="230">
        <f>Y99+Y99*VLOOKUP(I99,EXTRAS_ARRAY,2,FALSE)</f>
        <v/>
      </c>
      <c r="AB99" s="16" t="inlineStr">
        <is>
          <t>SRS KT for the 5-7 person delivery team (2 PDs).</t>
        </is>
      </c>
      <c r="AC99" s="29" t="n"/>
      <c r="AD99" s="226">
        <f>IF(J99&lt;&gt;"Yes",
IF(S99&lt;=0,"Error: Effort value is not defined or is invalid.",
IF(AND(SUM(U99:W99)&gt;0,SUM(U99:W99)&lt;&gt;1),"Error: Complexity % distribution should sum to 100%.",
IF(AND(P99=AS_DEV_EFFORT,X99&lt;&gt;0),"Error: PDs should not be defined when defining as dev effort %.",
IF(AND(P99=AS_DURATION_EFFORT,X99&lt;&gt;0),"Error: PDs should not be defined when defining as duration effort %.","")))))</f>
        <v/>
      </c>
    </row>
    <row r="100" outlineLevel="2" ht="43.5" customHeight="1" s="337">
      <c r="A100" s="212" t="inlineStr">
        <is>
          <t>A</t>
        </is>
      </c>
      <c r="B100" s="14" t="n"/>
      <c r="C100" s="62" t="n"/>
      <c r="D100" s="62" t="n"/>
      <c r="E100" s="62" t="n"/>
      <c r="F100" s="63" t="n"/>
      <c r="G100" s="15" t="inlineStr">
        <is>
          <t>-</t>
        </is>
      </c>
      <c r="H100" s="15" t="inlineStr">
        <is>
          <t>-</t>
        </is>
      </c>
      <c r="I100" s="16" t="inlineStr">
        <is>
          <t>-</t>
        </is>
      </c>
      <c r="J100" s="15" t="inlineStr">
        <is>
          <t>-</t>
        </is>
      </c>
      <c r="K100" s="30" t="n"/>
      <c r="L100" s="15" t="n"/>
      <c r="M100" s="229">
        <f>IFERROR(OFFSET(M100,-1,,1,1)+0.1,OFFSET(M100,-1,-1,1,1)&amp;".1")</f>
        <v/>
      </c>
      <c r="N100" s="16" t="inlineStr">
        <is>
          <t>Design knowledge transfer to team members</t>
        </is>
      </c>
      <c r="O100" s="16" t="n"/>
      <c r="P100" s="16" t="n"/>
      <c r="Q100" s="100" t="n">
        <v>1</v>
      </c>
      <c r="R100" s="95" t="n"/>
      <c r="S100" s="230">
        <f>CEILING((IF(J100="Yes", 0, IF(H100="-",AA100,AA100+AA100*VLOOKUP(H100,BUFFERS_BY_TYPE,2,FALSE)))) +
   (IF(J100="Yes", 0, IF(H100="-",AA100,AA100+AA100*VLOOKUP(H100,BUFFERS_BY_TYPE,2,FALSE))))*VLOOKUP($S$5, SALES_CALL_SCALE_ARRAY, 2,FALSE),0.25)</f>
        <v/>
      </c>
      <c r="T100" s="116" t="n"/>
      <c r="U100" s="17" t="n">
        <v>0</v>
      </c>
      <c r="V100" s="17" t="n">
        <v>1</v>
      </c>
      <c r="W100" s="17" t="n">
        <v>0</v>
      </c>
      <c r="X100" s="115" t="n">
        <v>2</v>
      </c>
      <c r="Y100" s="230">
        <f>CEILING((IF(P100=AS_DEV_EFFORT, DEV_EFFORT*Q100%,
                           IF(P100=AS_DURATION_EFFORT, (MANUAL_DURATION*5)*Q100%,
                                    (IF(Q100&lt;=1,X100,
                                          IF(SUM(U100:W100)=0,(Q100*X100),
                                               (((Q100*U100)*(X100+(X100*EXTRA_FOR_H)))+
                                               ((Q100*V100)*X100)+
                                               ((Q100*W100)*(X100-(X100*LESS_FOR_L)))
                                    )*IF(R100=0,1,R100))))))+Z100), 0.25)</f>
        <v/>
      </c>
      <c r="Z100" s="18" t="n"/>
      <c r="AA100" s="230">
        <f>Y100+Y100*VLOOKUP(I100,EXTRAS_ARRAY,2,FALSE)</f>
        <v/>
      </c>
      <c r="AB100" s="16" t="inlineStr">
        <is>
          <t>Design + component library KT (2 PDs).</t>
        </is>
      </c>
      <c r="AC100" s="29" t="n"/>
      <c r="AD100" s="226">
        <f>IF(J100&lt;&gt;"Yes",
IF(S100&lt;=0,"Error: Effort value is not defined or is invalid.",
IF(AND(SUM(U100:W100)&gt;0,SUM(U100:W100)&lt;&gt;1),"Error: Complexity % distribution should sum to 100%.",
IF(AND(P100=AS_DEV_EFFORT,X100&lt;&gt;0),"Error: PDs should not be defined when defining as dev effort %.",
IF(AND(P100=AS_DURATION_EFFORT,X100&lt;&gt;0),"Error: PDs should not be defined when defining as duration effort %.","")))))</f>
        <v/>
      </c>
    </row>
    <row r="101" outlineLevel="2" ht="43.5" customHeight="1" s="337">
      <c r="A101" s="212" t="inlineStr">
        <is>
          <t>A</t>
        </is>
      </c>
      <c r="B101" s="14" t="n"/>
      <c r="C101" s="62" t="n"/>
      <c r="D101" s="62" t="n"/>
      <c r="E101" s="62" t="n"/>
      <c r="F101" s="63" t="n"/>
      <c r="G101" s="15" t="inlineStr">
        <is>
          <t>-</t>
        </is>
      </c>
      <c r="H101" s="15" t="inlineStr">
        <is>
          <t>-</t>
        </is>
      </c>
      <c r="I101" s="16" t="inlineStr">
        <is>
          <t>-</t>
        </is>
      </c>
      <c r="J101" s="15" t="inlineStr">
        <is>
          <t>-</t>
        </is>
      </c>
      <c r="K101" s="30" t="n"/>
      <c r="L101" s="15" t="n"/>
      <c r="M101" s="229">
        <f>IFERROR(OFFSET(M101,-1,,1,1)+0.1,OFFSET(M101,-1,-1,1,1)&amp;".1")</f>
        <v/>
      </c>
      <c r="N101" s="16" t="inlineStr">
        <is>
          <t>Application framework knowledge transfer to team members</t>
        </is>
      </c>
      <c r="O101" s="16" t="n"/>
      <c r="P101" s="16" t="n"/>
      <c r="Q101" s="100" t="n">
        <v>1</v>
      </c>
      <c r="R101" s="95" t="n"/>
      <c r="S101" s="230">
        <f>CEILING((IF(J101="Yes", 0, IF(H101="-",AA101,AA101+AA101*VLOOKUP(H101,BUFFERS_BY_TYPE,2,FALSE)))) +
   (IF(J101="Yes", 0, IF(H101="-",AA101,AA101+AA101*VLOOKUP(H101,BUFFERS_BY_TYPE,2,FALSE))))*VLOOKUP($S$5, SALES_CALL_SCALE_ARRAY, 2,FALSE),0.25)</f>
        <v/>
      </c>
      <c r="T101" s="116" t="n"/>
      <c r="U101" s="17" t="n">
        <v>0</v>
      </c>
      <c r="V101" s="17" t="n">
        <v>1</v>
      </c>
      <c r="W101" s="17" t="n">
        <v>0</v>
      </c>
      <c r="X101" s="115" t="n">
        <v>2</v>
      </c>
      <c r="Y101" s="230">
        <f>CEILING((IF(P101=AS_DEV_EFFORT, DEV_EFFORT*Q101%,
                           IF(P101=AS_DURATION_EFFORT, (MANUAL_DURATION*5)*Q101%,
                                    (IF(Q101&lt;=1,X101,
                                          IF(SUM(U101:W101)=0,(Q101*X101),
                                               (((Q101*U101)*(X101+(X101*EXTRA_FOR_H)))+
                                               ((Q101*V101)*X101)+
                                               ((Q101*W101)*(X101-(X101*LESS_FOR_L)))
                                    )*IF(R101=0,1,R101))))))+Z101), 0.25)</f>
        <v/>
      </c>
      <c r="Z101" s="18" t="n"/>
      <c r="AA101" s="230">
        <f>Y101+Y101*VLOOKUP(I101,EXTRAS_ARRAY,2,FALSE)</f>
        <v/>
      </c>
      <c r="AB101" s="16" t="inlineStr">
        <is>
          <t>App framework KT (RSC, server actions, MUI theming) (2 PDs).</t>
        </is>
      </c>
      <c r="AC101" s="29" t="n"/>
      <c r="AD101" s="226">
        <f>IF(J101&lt;&gt;"Yes",
IF(S101&lt;=0,"Error: Effort value is not defined or is invalid.",
IF(AND(SUM(U101:W101)&gt;0,SUM(U101:W101)&lt;&gt;1),"Error: Complexity % distribution should sum to 100%.",
IF(AND(P101=AS_DEV_EFFORT,X101&lt;&gt;0),"Error: PDs should not be defined when defining as dev effort %.",
IF(AND(P101=AS_DURATION_EFFORT,X101&lt;&gt;0),"Error: PDs should not be defined when defining as duration effort %.","")))))</f>
        <v/>
      </c>
    </row>
    <row r="102" outlineLevel="2" ht="43.5" customHeight="1" s="337">
      <c r="A102" s="212" t="inlineStr">
        <is>
          <t>A</t>
        </is>
      </c>
      <c r="B102" s="14" t="n"/>
      <c r="C102" s="62" t="n"/>
      <c r="D102" s="62" t="n"/>
      <c r="E102" s="62" t="n"/>
      <c r="F102" s="63" t="n"/>
      <c r="G102" s="15" t="inlineStr">
        <is>
          <t>-</t>
        </is>
      </c>
      <c r="H102" s="15" t="inlineStr">
        <is>
          <t>-</t>
        </is>
      </c>
      <c r="I102" s="16" t="inlineStr">
        <is>
          <t>-</t>
        </is>
      </c>
      <c r="J102" s="15" t="inlineStr">
        <is>
          <t>-</t>
        </is>
      </c>
      <c r="K102" s="30" t="n"/>
      <c r="L102" s="15" t="n"/>
      <c r="M102" s="229">
        <f>IFERROR(OFFSET(M102,-1,,1,1)+0.1,OFFSET(M102,-1,-1,1,1)&amp;".1")</f>
        <v/>
      </c>
      <c r="N102" s="16" t="inlineStr">
        <is>
          <t>Development environment setup</t>
        </is>
      </c>
      <c r="O102" s="16" t="n"/>
      <c r="P102" s="16" t="n"/>
      <c r="Q102" s="100" t="n">
        <v>1</v>
      </c>
      <c r="R102" s="95" t="n"/>
      <c r="S102" s="230">
        <f>CEILING((IF(J102="Yes", 0, IF(H102="-",AA102,AA102+AA102*VLOOKUP(H102,BUFFERS_BY_TYPE,2,FALSE)))) +
   (IF(J102="Yes", 0, IF(H102="-",AA102,AA102+AA102*VLOOKUP(H102,BUFFERS_BY_TYPE,2,FALSE))))*VLOOKUP($S$5, SALES_CALL_SCALE_ARRAY, 2,FALSE),0.25)</f>
        <v/>
      </c>
      <c r="T102" s="116" t="n"/>
      <c r="U102" s="17" t="n">
        <v>0</v>
      </c>
      <c r="V102" s="17" t="n">
        <v>1</v>
      </c>
      <c r="W102" s="17" t="n">
        <v>0</v>
      </c>
      <c r="X102" s="115" t="n">
        <v>2</v>
      </c>
      <c r="Y102" s="230">
        <f>CEILING((IF(P102=AS_DEV_EFFORT, DEV_EFFORT*Q102%,
                           IF(P102=AS_DURATION_EFFORT, (MANUAL_DURATION*5)*Q102%,
                                    (IF(Q102&lt;=1,X102,
                                          IF(SUM(U102:W102)=0,(Q102*X102),
                                               (((Q102*U102)*(X102+(X102*EXTRA_FOR_H)))+
                                               ((Q102*V102)*X102)+
                                               ((Q102*W102)*(X102-(X102*LESS_FOR_L)))
                                    )*IF(R102=0,1,R102))))))+Z102), 0.25)</f>
        <v/>
      </c>
      <c r="Z102" s="18" t="n"/>
      <c r="AA102" s="230">
        <f>Y102+Y102*VLOOKUP(I102,EXTRAS_ARRAY,2,FALSE)</f>
        <v/>
      </c>
      <c r="AB102" s="16" t="inlineStr">
        <is>
          <t>2 dev environments: Vercel preview/prod and Docker/Kubernetes portable runtime (2 PDs).</t>
        </is>
      </c>
      <c r="AC102" s="29" t="n"/>
      <c r="AD102" s="226">
        <f>IF(J102&lt;&gt;"Yes",
IF(S102&lt;=0,"Error: Effort value is not defined or is invalid.",
IF(AND(SUM(U102:W102)&gt;0,SUM(U102:W102)&lt;&gt;1),"Error: Complexity % distribution should sum to 100%.",
IF(AND(P102=AS_DEV_EFFORT,X102&lt;&gt;0),"Error: PDs should not be defined when defining as dev effort %.",
IF(AND(P102=AS_DURATION_EFFORT,X102&lt;&gt;0),"Error: PDs should not be defined when defining as duration effort %.","")))))</f>
        <v/>
      </c>
    </row>
    <row r="103" outlineLevel="2" ht="7.5" customFormat="1" customHeight="1" s="294">
      <c r="A103" s="212" t="inlineStr">
        <is>
          <t>T3</t>
        </is>
      </c>
      <c r="B103" s="12" t="n"/>
      <c r="C103" s="56" t="n"/>
      <c r="D103" s="56" t="n"/>
      <c r="E103" s="56" t="n"/>
      <c r="F103" s="56" t="n"/>
      <c r="M103" s="180" t="n"/>
      <c r="T103" s="12" t="n"/>
      <c r="X103" s="12" t="n"/>
      <c r="AB103" s="7" t="n"/>
      <c r="AC103" s="7" t="n"/>
      <c r="AD103" s="7" t="n"/>
    </row>
    <row r="104" outlineLevel="1" ht="15.5" customFormat="1" customHeight="1" s="298">
      <c r="A104" s="212" t="inlineStr">
        <is>
          <t>T1</t>
        </is>
      </c>
      <c r="B104" s="14" t="n"/>
      <c r="C104" s="61" t="n"/>
      <c r="D104" s="61" t="n"/>
      <c r="E104" s="61" t="n"/>
      <c r="F104" s="60" t="n"/>
      <c r="G104" s="24" t="n"/>
      <c r="H104" s="24" t="n"/>
      <c r="I104" s="24" t="n"/>
      <c r="J104" s="24" t="n"/>
      <c r="K104" s="24" t="n"/>
      <c r="L104" s="223">
        <f>LOOKUP(1000,INDIRECT("L1:"&amp;CELL("address",INDIRECT("R[-1]C",FALSE))))+1</f>
        <v/>
      </c>
      <c r="M104" s="301" t="inlineStr">
        <is>
          <t>Shared/core tasks</t>
        </is>
      </c>
      <c r="N104" s="302" t="n"/>
      <c r="O104" s="4" t="n"/>
      <c r="P104" s="25" t="n"/>
      <c r="Q104" s="25" t="n"/>
      <c r="R104" s="25" t="n"/>
      <c r="S104" s="25" t="n"/>
      <c r="T104" s="225">
        <f>IF($S$6="Exclude", SUMIFS(S105:S111, J105:J111, "&lt;&gt;Yes", G105:G111, "&lt;&gt;Yes"), SUMIFS(S105:S111, J105:J111, "&lt;&gt;Yes"))</f>
        <v/>
      </c>
      <c r="U104" s="25" t="n"/>
      <c r="V104" s="25" t="n"/>
      <c r="W104" s="25" t="n"/>
      <c r="X104" s="26" t="n"/>
      <c r="Y104" s="27" t="n"/>
      <c r="Z104" s="27" t="n"/>
      <c r="AA104" s="27" t="n"/>
      <c r="AB104" s="155" t="n"/>
      <c r="AC104" s="28" t="n"/>
      <c r="AD104" s="226">
        <f>IF(M104="", "Error: Task name cannot be empty.", "")</f>
        <v/>
      </c>
    </row>
    <row r="105" outlineLevel="2" ht="1.5" customFormat="1" customHeight="1" s="9">
      <c r="A105" s="212" t="inlineStr">
        <is>
          <t>T2</t>
        </is>
      </c>
      <c r="B105" s="14" t="n"/>
      <c r="C105" s="61" t="n"/>
      <c r="D105" s="61" t="n"/>
      <c r="E105" s="61" t="n"/>
      <c r="F105" s="60" t="n"/>
      <c r="G105" s="24" t="n"/>
      <c r="H105" s="24" t="n"/>
      <c r="I105" s="24" t="n"/>
      <c r="J105" s="24" t="n"/>
      <c r="K105" s="24" t="n"/>
      <c r="L105" s="227">
        <f>L104</f>
        <v/>
      </c>
      <c r="M105" s="228" t="inlineStr">
        <is>
          <t>X</t>
        </is>
      </c>
      <c r="N105" s="118" t="n"/>
      <c r="O105" s="119" t="n"/>
      <c r="P105" s="25" t="n"/>
      <c r="Q105" s="25" t="n"/>
      <c r="R105" s="25" t="n"/>
      <c r="S105" s="25" t="n"/>
      <c r="T105" s="114" t="n"/>
      <c r="U105" s="25" t="n"/>
      <c r="V105" s="25" t="n"/>
      <c r="W105" s="25" t="n"/>
      <c r="X105" s="26" t="n"/>
      <c r="Y105" s="27" t="n"/>
      <c r="Z105" s="27" t="n"/>
      <c r="AA105" s="27" t="n"/>
      <c r="AB105" s="28" t="n"/>
      <c r="AC105" s="28" t="n"/>
      <c r="AD105" s="19" t="n"/>
    </row>
    <row r="106" outlineLevel="2" ht="43.5" customHeight="1" s="337">
      <c r="A106" s="212" t="inlineStr">
        <is>
          <t>A</t>
        </is>
      </c>
      <c r="B106" s="14" t="n"/>
      <c r="C106" s="62" t="n"/>
      <c r="D106" s="62" t="n"/>
      <c r="E106" s="62" t="n"/>
      <c r="F106" s="63" t="n"/>
      <c r="G106" s="15" t="inlineStr">
        <is>
          <t>-</t>
        </is>
      </c>
      <c r="H106" s="15" t="inlineStr">
        <is>
          <t>-</t>
        </is>
      </c>
      <c r="I106" s="16" t="inlineStr">
        <is>
          <t>-</t>
        </is>
      </c>
      <c r="J106" s="15" t="inlineStr">
        <is>
          <t>-</t>
        </is>
      </c>
      <c r="K106" s="30" t="n"/>
      <c r="L106" s="15" t="n"/>
      <c r="M106" s="229">
        <f>IFERROR(OFFSET(M106,-1,,1,1)+0.1,OFFSET(M106,-1,-1,1,1)&amp;".1")</f>
        <v/>
      </c>
      <c r="N106" s="16" t="inlineStr">
        <is>
          <t>Screen: Master Page
&gt;&gt; Main menu, navigation logic and menu authorization logic</t>
        </is>
      </c>
      <c r="O106" s="16" t="n"/>
      <c r="P106" s="16" t="n"/>
      <c r="Q106" s="100" t="n">
        <v>1</v>
      </c>
      <c r="R106" s="95" t="n"/>
      <c r="S106" s="230">
        <f>CEILING((IF(J106="Yes", 0, IF(H106="-",AA106,AA106+AA106*VLOOKUP(H106,BUFFERS_BY_TYPE,2,FALSE)))) +
   (IF(J106="Yes", 0, IF(H106="-",AA106,AA106+AA106*VLOOKUP(H106,BUFFERS_BY_TYPE,2,FALSE))))*VLOOKUP($S$5, SALES_CALL_SCALE_ARRAY, 2,FALSE),0.25)</f>
        <v/>
      </c>
      <c r="T106" s="116" t="n"/>
      <c r="U106" s="17" t="n">
        <v>0</v>
      </c>
      <c r="V106" s="17" t="n">
        <v>1</v>
      </c>
      <c r="W106" s="17" t="n">
        <v>0</v>
      </c>
      <c r="X106" s="115" t="n">
        <v>3</v>
      </c>
      <c r="Y106" s="230">
        <f>CEILING((IF(P106=AS_DEV_EFFORT, DEV_EFFORT*Q106%,
                           IF(P106=AS_DURATION_EFFORT, (MANUAL_DURATION*5)*Q106%,
                                    (IF(Q106&lt;=1,X106,
                                          IF(SUM(U106:W106)=0,(Q106*X106),
                                               (((Q106*U106)*(X106+(X106*EXTRA_FOR_H)))+
                                               ((Q106*V106)*X106)+
                                               ((Q106*W106)*(X106-(X106*LESS_FOR_L)))
                                    )*IF(R106=0,1,R106))))))+Z106), 0.25)</f>
        <v/>
      </c>
      <c r="Z106" s="18" t="n"/>
      <c r="AA106" s="230">
        <f>Y106+Y106*VLOOKUP(I106,EXTRAS_ARRAY,2,FALSE)</f>
        <v/>
      </c>
      <c r="AB106" s="16" t="inlineStr">
        <is>
          <t>Home page (RSC) with hero, featured products, brand collections, category nav (3 PDs).</t>
        </is>
      </c>
      <c r="AC106" s="29" t="n"/>
      <c r="AD106" s="226">
        <f>IF(J106&lt;&gt;"Yes",
IF(S106&lt;=0,"Error: Effort value is not defined or is invalid.",
IF(AND(SUM(U106:W106)&gt;0,SUM(U106:W106)&lt;&gt;1),"Error: Complexity % distribution should sum to 100%.",
IF(AND(P106=AS_DEV_EFFORT,X106&lt;&gt;0),"Error: PDs should not be defined when defining as dev effort %.",
IF(AND(P106=AS_DURATION_EFFORT,X106&lt;&gt;0),"Error: PDs should not be defined when defining as duration effort %.","")))))</f>
        <v/>
      </c>
    </row>
    <row r="107" outlineLevel="2" ht="43.5" customHeight="1" s="337">
      <c r="A107" s="212" t="inlineStr">
        <is>
          <t>A</t>
        </is>
      </c>
      <c r="B107" s="14" t="n"/>
      <c r="C107" s="62" t="n"/>
      <c r="D107" s="62" t="n"/>
      <c r="E107" s="62" t="n"/>
      <c r="F107" s="63" t="n"/>
      <c r="G107" s="15" t="inlineStr">
        <is>
          <t>-</t>
        </is>
      </c>
      <c r="H107" s="15" t="inlineStr">
        <is>
          <t>-</t>
        </is>
      </c>
      <c r="I107" s="16" t="inlineStr">
        <is>
          <t>-</t>
        </is>
      </c>
      <c r="J107" s="15" t="inlineStr">
        <is>
          <t>-</t>
        </is>
      </c>
      <c r="K107" s="30" t="n"/>
      <c r="L107" s="15" t="n"/>
      <c r="M107" s="229">
        <f>IFERROR(OFFSET(M107,-1,,1,1)+0.1,OFFSET(M107,-1,-1,1,1)&amp;".1")</f>
        <v/>
      </c>
      <c r="N107" s="16" t="inlineStr">
        <is>
          <t>Screen: Login (authentication process)</t>
        </is>
      </c>
      <c r="O107" s="16" t="n"/>
      <c r="P107" s="16" t="n"/>
      <c r="Q107" s="100" t="n">
        <v>1</v>
      </c>
      <c r="R107" s="95" t="n"/>
      <c r="S107" s="230">
        <f>CEILING((IF(J107="Yes", 0, IF(H107="-",AA107,AA107+AA107*VLOOKUP(H107,BUFFERS_BY_TYPE,2,FALSE)))) +
   (IF(J107="Yes", 0, IF(H107="-",AA107,AA107+AA107*VLOOKUP(H107,BUFFERS_BY_TYPE,2,FALSE))))*VLOOKUP($S$5, SALES_CALL_SCALE_ARRAY, 2,FALSE),0.25)</f>
        <v/>
      </c>
      <c r="T107" s="116" t="n"/>
      <c r="U107" s="17" t="n">
        <v>0</v>
      </c>
      <c r="V107" s="17" t="n">
        <v>1</v>
      </c>
      <c r="W107" s="17" t="n">
        <v>0</v>
      </c>
      <c r="X107" s="115" t="n">
        <v>3</v>
      </c>
      <c r="Y107" s="230">
        <f>CEILING((IF(P107=AS_DEV_EFFORT, DEV_EFFORT*Q107%,
                           IF(P107=AS_DURATION_EFFORT, (MANUAL_DURATION*5)*Q107%,
                                    (IF(Q107&lt;=1,X107,
                                          IF(SUM(U107:W107)=0,(Q107*X107),
                                               (((Q107*U107)*(X107+(X107*EXTRA_FOR_H)))+
                                               ((Q107*V107)*X107)+
                                               ((Q107*W107)*(X107-(X107*LESS_FOR_L)))
                                    )*IF(R107=0,1,R107))))))+Z107), 0.25)</f>
        <v/>
      </c>
      <c r="Z107" s="18" t="n"/>
      <c r="AA107" s="230">
        <f>Y107+Y107*VLOOKUP(I107,EXTRAS_ARRAY,2,FALSE)</f>
        <v/>
      </c>
      <c r="AB107" s="16" t="inlineStr">
        <is>
          <t>Login surface: NextAuth credentials + 4 OAuth buttons (3 PDs).</t>
        </is>
      </c>
      <c r="AC107" s="29" t="n"/>
      <c r="AD107" s="226">
        <f>IF(J107&lt;&gt;"Yes",
IF(S107&lt;=0,"Error: Effort value is not defined or is invalid.",
IF(AND(SUM(U107:W107)&gt;0,SUM(U107:W107)&lt;&gt;1),"Error: Complexity % distribution should sum to 100%.",
IF(AND(P107=AS_DEV_EFFORT,X107&lt;&gt;0),"Error: PDs should not be defined when defining as dev effort %.",
IF(AND(P107=AS_DURATION_EFFORT,X107&lt;&gt;0),"Error: PDs should not be defined when defining as duration effort %.","")))))</f>
        <v/>
      </c>
    </row>
    <row r="108" outlineLevel="2" ht="43.5" customHeight="1" s="337">
      <c r="A108" s="212" t="inlineStr">
        <is>
          <t>A</t>
        </is>
      </c>
      <c r="B108" s="14" t="n"/>
      <c r="C108" s="62" t="n"/>
      <c r="D108" s="62" t="n"/>
      <c r="E108" s="62" t="n"/>
      <c r="F108" s="63" t="n"/>
      <c r="G108" s="15" t="inlineStr">
        <is>
          <t>-</t>
        </is>
      </c>
      <c r="H108" s="15" t="inlineStr">
        <is>
          <t>-</t>
        </is>
      </c>
      <c r="I108" s="16" t="inlineStr">
        <is>
          <t>-</t>
        </is>
      </c>
      <c r="J108" s="15" t="inlineStr">
        <is>
          <t>-</t>
        </is>
      </c>
      <c r="K108" s="30" t="n"/>
      <c r="L108" s="15" t="n"/>
      <c r="M108" s="229">
        <f>IFERROR(OFFSET(M108,-1,,1,1)+0.1,OFFSET(M108,-1,-1,1,1)&amp;".1")</f>
        <v/>
      </c>
      <c r="N108" s="16" t="inlineStr">
        <is>
          <t>Functionality: Authorization engine</t>
        </is>
      </c>
      <c r="O108" s="16" t="n"/>
      <c r="P108" s="16" t="n"/>
      <c r="Q108" s="100" t="n">
        <v>1</v>
      </c>
      <c r="R108" s="95" t="n"/>
      <c r="S108" s="230">
        <f>CEILING((IF(J108="Yes", 0, IF(H108="-",AA108,AA108+AA108*VLOOKUP(H108,BUFFERS_BY_TYPE,2,FALSE)))) +
   (IF(J108="Yes", 0, IF(H108="-",AA108,AA108+AA108*VLOOKUP(H108,BUFFERS_BY_TYPE,2,FALSE))))*VLOOKUP($S$5, SALES_CALL_SCALE_ARRAY, 2,FALSE),0.25)</f>
        <v/>
      </c>
      <c r="T108" s="116" t="n"/>
      <c r="U108" s="17" t="n">
        <v>0</v>
      </c>
      <c r="V108" s="17" t="n">
        <v>1</v>
      </c>
      <c r="W108" s="17" t="n">
        <v>0</v>
      </c>
      <c r="X108" s="115" t="n">
        <v>3</v>
      </c>
      <c r="Y108" s="230">
        <f>CEILING((IF(P108=AS_DEV_EFFORT, DEV_EFFORT*Q108%,
                           IF(P108=AS_DURATION_EFFORT, (MANUAL_DURATION*5)*Q108%,
                                    (IF(Q108&lt;=1,X108,
                                          IF(SUM(U108:W108)=0,(Q108*X108),
                                               (((Q108*U108)*(X108+(X108*EXTRA_FOR_H)))+
                                               ((Q108*V108)*X108)+
                                               ((Q108*W108)*(X108-(X108*LESS_FOR_L)))
                                    )*IF(R108=0,1,R108))))))+Z108), 0.25)</f>
        <v/>
      </c>
      <c r="Z108" s="18" t="n"/>
      <c r="AA108" s="230">
        <f>Y108+Y108*VLOOKUP(I108,EXTRAS_ARRAY,2,FALSE)</f>
        <v/>
      </c>
      <c r="AB108" s="16" t="inlineStr">
        <is>
          <t>Authorization: Edge proxy + auth() helpers around /account and /api routes (3 PDs).</t>
        </is>
      </c>
      <c r="AC108" s="29" t="n"/>
      <c r="AD108" s="226">
        <f>IF(J108&lt;&gt;"Yes",
IF(S108&lt;=0,"Error: Effort value is not defined or is invalid.",
IF(AND(SUM(U108:W108)&gt;0,SUM(U108:W108)&lt;&gt;1),"Error: Complexity % distribution should sum to 100%.",
IF(AND(P108=AS_DEV_EFFORT,X108&lt;&gt;0),"Error: PDs should not be defined when defining as dev effort %.",
IF(AND(P108=AS_DURATION_EFFORT,X108&lt;&gt;0),"Error: PDs should not be defined when defining as duration effort %.","")))))</f>
        <v/>
      </c>
    </row>
    <row r="109" outlineLevel="2" ht="43.5" customHeight="1" s="337">
      <c r="A109" s="212" t="inlineStr">
        <is>
          <t>A</t>
        </is>
      </c>
      <c r="B109" s="14" t="n"/>
      <c r="C109" s="62" t="n"/>
      <c r="D109" s="62" t="n"/>
      <c r="E109" s="62" t="n"/>
      <c r="F109" s="63" t="n"/>
      <c r="G109" s="15" t="inlineStr">
        <is>
          <t>-</t>
        </is>
      </c>
      <c r="H109" s="15" t="inlineStr">
        <is>
          <t>-</t>
        </is>
      </c>
      <c r="I109" s="16" t="inlineStr">
        <is>
          <t>-</t>
        </is>
      </c>
      <c r="J109" s="15" t="inlineStr">
        <is>
          <t>-</t>
        </is>
      </c>
      <c r="K109" s="30" t="n"/>
      <c r="L109" s="15" t="n"/>
      <c r="M109" s="229">
        <f>IFERROR(OFFSET(M109,-1,,1,1)+0.1,OFFSET(M109,-1,-1,1,1)&amp;".1")</f>
        <v/>
      </c>
      <c r="N109" s="16" t="inlineStr">
        <is>
          <t>Functionality: Transactional notification engine (Resend)
&gt;&gt; Welcome email on signup
&gt;&gt; Order confirmation on Stripe webhook / orders sync
&gt;&gt; Cancellation email on order cancel
&gt;&gt; Console fallback when RESEND_API_KEY is not configured</t>
        </is>
      </c>
      <c r="O109" s="16" t="n"/>
      <c r="P109" s="16" t="n"/>
      <c r="Q109" s="100" t="n">
        <v>1</v>
      </c>
      <c r="R109" s="95" t="n"/>
      <c r="S109" s="230">
        <f>CEILING((IF(J109="Yes", 0, IF(H109="-",AA109,AA109+AA109*VLOOKUP(H109,BUFFERS_BY_TYPE,2,FALSE)))) +
   (IF(J109="Yes", 0, IF(H109="-",AA109,AA109+AA109*VLOOKUP(H109,BUFFERS_BY_TYPE,2,FALSE))))*VLOOKUP($S$5, SALES_CALL_SCALE_ARRAY, 2,FALSE),0.25)</f>
        <v/>
      </c>
      <c r="T109" s="116" t="n"/>
      <c r="U109" s="17" t="n">
        <v>0</v>
      </c>
      <c r="V109" s="17" t="n">
        <v>1</v>
      </c>
      <c r="W109" s="17" t="n">
        <v>0</v>
      </c>
      <c r="X109" s="115" t="n">
        <v>3</v>
      </c>
      <c r="Y109" s="230">
        <f>CEILING((IF(P109=AS_DEV_EFFORT, DEV_EFFORT*Q109%,
                           IF(P109=AS_DURATION_EFFORT, (MANUAL_DURATION*5)*Q109%,
                                    (IF(Q109&lt;=1,X109,
                                          IF(SUM(U109:W109)=0,(Q109*X109),
                                               (((Q109*U109)*(X109+(X109*EXTRA_FOR_H)))+
                                               ((Q109*V109)*X109)+
                                               ((Q109*W109)*(X109-(X109*LESS_FOR_L)))
                                    )*IF(R109=0,1,R109))))))+Z109), 0.25)</f>
        <v/>
      </c>
      <c r="Z109" s="18" t="n"/>
      <c r="AA109" s="230">
        <f>Y109+Y109*VLOOKUP(I109,EXTRAS_ARRAY,2,FALSE)</f>
        <v/>
      </c>
      <c r="AB109" s="16" t="inlineStr">
        <is>
          <t>Resend transactional email: welcome (signup), order confirmation (Stripe webhook + orders/sync), order cancellation; HTML templates + console fallback when RESEND_API_KEY unset (3 PDs).</t>
        </is>
      </c>
      <c r="AC109" s="29" t="n"/>
      <c r="AD109" s="226">
        <f>IF(J109&lt;&gt;"Yes",
IF(S109&lt;=0,"Error: Effort value is not defined or is invalid.",
IF(AND(SUM(U109:W109)&gt;0,SUM(U109:W109)&lt;&gt;1),"Error: Complexity % distribution should sum to 100%.",
IF(AND(P109=AS_DEV_EFFORT,X109&lt;&gt;0),"Error: PDs should not be defined when defining as dev effort %.",
IF(AND(P109=AS_DURATION_EFFORT,X109&lt;&gt;0),"Error: PDs should not be defined when defining as duration effort %.","")))))</f>
        <v/>
      </c>
    </row>
    <row r="110" outlineLevel="2" ht="43.5" customHeight="1" s="337">
      <c r="A110" s="212" t="inlineStr">
        <is>
          <t>A</t>
        </is>
      </c>
      <c r="B110" s="14" t="n"/>
      <c r="C110" s="62" t="n"/>
      <c r="D110" s="62" t="n"/>
      <c r="E110" s="62" t="n"/>
      <c r="F110" s="63" t="n"/>
      <c r="G110" s="15" t="inlineStr">
        <is>
          <t>-</t>
        </is>
      </c>
      <c r="H110" s="15" t="inlineStr">
        <is>
          <t>-</t>
        </is>
      </c>
      <c r="I110" s="16" t="inlineStr">
        <is>
          <t>-</t>
        </is>
      </c>
      <c r="J110" s="15" t="inlineStr">
        <is>
          <t>-</t>
        </is>
      </c>
      <c r="K110" s="30" t="n"/>
      <c r="L110" s="15" t="n"/>
      <c r="M110" s="229">
        <f>IFERROR(OFFSET(M110,-1,,1,1)+0.1,OFFSET(M110,-1,-1,1,1)&amp;".1")</f>
        <v/>
      </c>
      <c r="N110" s="16" t="inlineStr">
        <is>
          <t>Functionality: Catalog search (Elastic Cloud + fallback)
&gt;&gt; SearchClient + ProductSearchAutocomplete
&gt;&gt; GET /api/products/search with brand, price, sort filters
&gt;&gt; searchProducts() facade with Elasticsearch primary path and in-memory fallback</t>
        </is>
      </c>
      <c r="O110" s="16" t="n"/>
      <c r="P110" s="16" t="n"/>
      <c r="Q110" s="100" t="n">
        <v>1</v>
      </c>
      <c r="R110" s="95" t="n"/>
      <c r="S110" s="230">
        <f>CEILING((IF(J110="Yes", 0, IF(H110="-",AA110,AA110+AA110*VLOOKUP(H110,BUFFERS_BY_TYPE,2,FALSE)))) +
   (IF(J110="Yes", 0, IF(H110="-",AA110,AA110+AA110*VLOOKUP(H110,BUFFERS_BY_TYPE,2,FALSE))))*VLOOKUP($S$5, SALES_CALL_SCALE_ARRAY, 2,FALSE),0.25)</f>
        <v/>
      </c>
      <c r="T110" s="116" t="n"/>
      <c r="U110" s="17" t="n">
        <v>0</v>
      </c>
      <c r="V110" s="17" t="n">
        <v>1</v>
      </c>
      <c r="W110" s="17" t="n">
        <v>0</v>
      </c>
      <c r="X110" s="115" t="n">
        <v>5</v>
      </c>
      <c r="Y110" s="230">
        <f>CEILING((IF(P110=AS_DEV_EFFORT, DEV_EFFORT*Q110%,
                           IF(P110=AS_DURATION_EFFORT, (MANUAL_DURATION*5)*Q110%,
                                    (IF(Q110&lt;=1,X110,
                                          IF(SUM(U110:W110)=0,(Q110*X110),
                                               (((Q110*U110)*(X110+(X110*EXTRA_FOR_H)))+
                                               ((Q110*V110)*X110)+
                                               ((Q110*W110)*(X110-(X110*LESS_FOR_L)))
                                    )*IF(R110=0,1,R110))))))+Z110), 0.25)</f>
        <v/>
      </c>
      <c r="Z110" s="18" t="n"/>
      <c r="AA110" s="230">
        <f>Y110+Y110*VLOOKUP(I110,EXTRAS_ARRAY,2,FALSE)</f>
        <v/>
      </c>
      <c r="AB110" s="16" t="inlineStr">
        <is>
          <t>Elastic Cloud search facade (searchProducts): optional Elasticsearch index ycompany-products (npm run search:index), multi_match + filters + sort, automatic in-memory CatalogIndex fallback; SearchClient debounce/URL sync + header autocomplete (5 PDs).</t>
        </is>
      </c>
      <c r="AC110" s="29" t="n"/>
      <c r="AD110" s="226">
        <f>IF(J110&lt;&gt;"Yes",
IF(S110&lt;=0,"Error: Effort value is not defined or is invalid.",
IF(AND(SUM(U110:W110)&gt;0,SUM(U110:W110)&lt;&gt;1),"Error: Complexity % distribution should sum to 100%.",
IF(AND(P110=AS_DEV_EFFORT,X110&lt;&gt;0),"Error: PDs should not be defined when defining as dev effort %.",
IF(AND(P110=AS_DURATION_EFFORT,X110&lt;&gt;0),"Error: PDs should not be defined when defining as duration effort %.","")))))</f>
        <v/>
      </c>
    </row>
    <row r="111" outlineLevel="2" ht="7.5" customFormat="1" customHeight="1" s="294">
      <c r="A111" s="212" t="inlineStr">
        <is>
          <t>T3</t>
        </is>
      </c>
      <c r="B111" s="12" t="n"/>
      <c r="C111" s="56" t="n"/>
      <c r="D111" s="56" t="n"/>
      <c r="E111" s="56" t="n"/>
      <c r="F111" s="56" t="n"/>
      <c r="M111" s="180" t="n"/>
      <c r="T111" s="12" t="n"/>
      <c r="X111" s="12" t="n"/>
      <c r="AB111" s="7" t="n"/>
      <c r="AC111" s="7" t="n"/>
      <c r="AD111" s="7" t="n"/>
    </row>
    <row r="112" outlineLevel="1" ht="15.5" customFormat="1" customHeight="1" s="298">
      <c r="A112" s="212" t="inlineStr">
        <is>
          <t>M</t>
        </is>
      </c>
      <c r="B112" s="14" t="n"/>
      <c r="C112" s="61" t="n"/>
      <c r="D112" s="61" t="n"/>
      <c r="E112" s="61" t="n"/>
      <c r="F112" s="60" t="n"/>
      <c r="G112" s="125" t="n"/>
      <c r="H112" s="125" t="n"/>
      <c r="I112" s="125" t="n"/>
      <c r="J112" s="125" t="n"/>
      <c r="K112" s="125" t="n"/>
      <c r="L112" s="69" t="inlineStr">
        <is>
          <t>→</t>
        </is>
      </c>
      <c r="M112" s="311" t="inlineStr">
        <is>
          <t>Task Group Name</t>
        </is>
      </c>
      <c r="N112" s="302" t="n"/>
      <c r="O112" s="64" t="n"/>
      <c r="P112" s="65" t="n"/>
      <c r="Q112" s="65" t="n"/>
      <c r="R112" s="65" t="n"/>
      <c r="S112" s="352">
        <f>SUMGROUP(ROW(), "T")</f>
        <v/>
      </c>
      <c r="T112" s="302" t="n"/>
      <c r="U112" s="309" t="n"/>
      <c r="V112" s="302" t="n"/>
      <c r="W112" s="302" t="n"/>
      <c r="X112" s="66" t="n"/>
      <c r="Y112" s="67" t="n"/>
      <c r="Z112" s="67" t="n"/>
      <c r="AA112" s="67" t="n"/>
      <c r="AB112" s="156" t="n"/>
      <c r="AC112" s="68" t="n"/>
      <c r="AD112" s="226">
        <f>IF(M112="", "Error: Module name cannot be empty.", "")</f>
        <v/>
      </c>
    </row>
    <row r="113" outlineLevel="1" collapsed="1" ht="15.5" customFormat="1" customHeight="1" s="298">
      <c r="A113" s="212" t="inlineStr">
        <is>
          <t>T1</t>
        </is>
      </c>
      <c r="B113" s="14" t="n"/>
      <c r="C113" s="61" t="n"/>
      <c r="D113" s="61" t="n"/>
      <c r="E113" s="61" t="n"/>
      <c r="F113" s="60" t="n"/>
      <c r="G113" s="24" t="n"/>
      <c r="H113" s="24" t="n"/>
      <c r="I113" s="24" t="n"/>
      <c r="J113" s="24" t="n"/>
      <c r="K113" s="24" t="n"/>
      <c r="L113" s="223">
        <f>LOOKUP(1000,INDIRECT("L1:"&amp;CELL("address",INDIRECT("R[-1]C",FALSE))))+1</f>
        <v/>
      </c>
      <c r="M113" s="301" t="inlineStr">
        <is>
          <t>Task Name</t>
        </is>
      </c>
      <c r="N113" s="302" t="n"/>
      <c r="O113" s="4" t="n"/>
      <c r="P113" s="25" t="n"/>
      <c r="Q113" s="25" t="n"/>
      <c r="R113" s="25" t="n"/>
      <c r="S113" s="25" t="n"/>
      <c r="T113" s="225">
        <f>IF($S$6="Exclude", SUMIFS(S114:S117, J114:J117, "&lt;&gt;Yes", G114:G117, "&lt;&gt;Yes"), SUMIFS(S114:S117, J114:J117, "&lt;&gt;Yes"))</f>
        <v/>
      </c>
      <c r="U113" s="25" t="n"/>
      <c r="V113" s="25" t="n"/>
      <c r="W113" s="25" t="n"/>
      <c r="X113" s="26" t="n"/>
      <c r="Y113" s="27" t="n"/>
      <c r="Z113" s="27" t="n"/>
      <c r="AA113" s="27" t="n"/>
      <c r="AB113" s="155" t="n"/>
      <c r="AC113" s="28" t="n"/>
      <c r="AD113" s="226">
        <f>IF(M113="", "Error: Task name cannot be empty.", "")</f>
        <v/>
      </c>
    </row>
    <row r="114" hidden="1" outlineLevel="2" ht="1.5" customFormat="1" customHeight="1" s="9">
      <c r="A114" s="212" t="inlineStr">
        <is>
          <t>T2</t>
        </is>
      </c>
      <c r="B114" s="14" t="n"/>
      <c r="C114" s="61" t="n"/>
      <c r="D114" s="61" t="n"/>
      <c r="E114" s="61" t="n"/>
      <c r="F114" s="60" t="n"/>
      <c r="G114" s="24" t="n"/>
      <c r="H114" s="24" t="n"/>
      <c r="I114" s="24" t="n"/>
      <c r="J114" s="24" t="n"/>
      <c r="K114" s="24" t="n"/>
      <c r="L114" s="227">
        <f>L113</f>
        <v/>
      </c>
      <c r="M114" s="228" t="inlineStr">
        <is>
          <t>X</t>
        </is>
      </c>
      <c r="N114" s="118" t="n"/>
      <c r="O114" s="119" t="n"/>
      <c r="P114" s="25" t="n"/>
      <c r="Q114" s="25" t="n"/>
      <c r="R114" s="25" t="n"/>
      <c r="S114" s="25" t="n"/>
      <c r="T114" s="114" t="n"/>
      <c r="U114" s="25" t="n"/>
      <c r="V114" s="25" t="n"/>
      <c r="W114" s="25" t="n"/>
      <c r="X114" s="26" t="n"/>
      <c r="Y114" s="27" t="n"/>
      <c r="Z114" s="27" t="n"/>
      <c r="AA114" s="27" t="n"/>
      <c r="AB114" s="28" t="n"/>
      <c r="AC114" s="28" t="n"/>
      <c r="AD114" s="19" t="n"/>
    </row>
    <row r="115" hidden="1" outlineLevel="2" ht="43.5" customHeight="1" s="337">
      <c r="A115" s="212" t="inlineStr">
        <is>
          <t>A</t>
        </is>
      </c>
      <c r="B115" s="14" t="n"/>
      <c r="C115" s="62" t="n"/>
      <c r="D115" s="62" t="n"/>
      <c r="E115" s="62" t="n"/>
      <c r="F115" s="63" t="n"/>
      <c r="G115" s="15" t="inlineStr">
        <is>
          <t>-</t>
        </is>
      </c>
      <c r="H115" s="15" t="inlineStr">
        <is>
          <t>-</t>
        </is>
      </c>
      <c r="I115" s="16" t="inlineStr">
        <is>
          <t>-</t>
        </is>
      </c>
      <c r="J115" s="15" t="inlineStr">
        <is>
          <t>-</t>
        </is>
      </c>
      <c r="K115" s="30" t="n"/>
      <c r="L115" s="15" t="n"/>
      <c r="M115" s="229">
        <f>IFERROR(OFFSET(M115,-1,,1,1)+0.1,OFFSET(M115,-1,-1,1,1)&amp;".1")</f>
        <v/>
      </c>
      <c r="N115" s="16" t="inlineStr">
        <is>
          <t>Screen: &lt;screen name&gt;
&gt;&gt; CRUD, List, Search</t>
        </is>
      </c>
      <c r="O115" s="16" t="n"/>
      <c r="P115" s="16" t="n"/>
      <c r="Q115" s="100" t="n">
        <v>11</v>
      </c>
      <c r="R115" s="95" t="n"/>
      <c r="S115" s="230">
        <f>CEILING((IF(J115="Yes", 0, IF(H115="-",AA115,AA115+AA115*VLOOKUP(H115,BUFFERS_BY_TYPE,2,FALSE)))) +
   (IF(J115="Yes", 0, IF(H115="-",AA115,AA115+AA115*VLOOKUP(H115,BUFFERS_BY_TYPE,2,FALSE))))*VLOOKUP($S$5, SALES_CALL_SCALE_ARRAY, 2,FALSE),0.25)</f>
        <v/>
      </c>
      <c r="T115" s="116" t="n"/>
      <c r="U115" s="17" t="n">
        <v>0</v>
      </c>
      <c r="V115" s="17" t="n">
        <v>1</v>
      </c>
      <c r="W115" s="17" t="n">
        <v>0</v>
      </c>
      <c r="X115" s="115" t="n">
        <v>4</v>
      </c>
      <c r="Y115" s="230">
        <f>CEILING((IF(P115=AS_DEV_EFFORT, DEV_EFFORT*Q115%,
                           IF(P115=AS_DURATION_EFFORT, (MANUAL_DURATION*5)*Q115%,
                                    (IF(Q115&lt;=1,X115,
                                          IF(SUM(U115:W115)=0,(Q115*X115),
                                               (((Q115*U115)*(X115+(X115*EXTRA_FOR_H)))+
                                               ((Q115*V115)*X115)+
                                               ((Q115*W115)*(X115-(X115*LESS_FOR_L)))
                                    )*IF(R115=0,1,R115))))))+Z115), 0.25)</f>
        <v/>
      </c>
      <c r="Z115" s="18" t="n"/>
      <c r="AA115" s="230">
        <f>Y115+Y115*VLOOKUP(I115,EXTRAS_ARRAY,2,FALSE)</f>
        <v/>
      </c>
      <c r="AB115" s="16" t="inlineStr">
        <is>
          <t>Storefront screens × 11 × 4 PDs = 44 PDs: PDP, category, search, cart, checkout, checkout/success, account dashboard, orders list, order detail, login/signup, about.</t>
        </is>
      </c>
      <c r="AC115" s="29" t="n"/>
      <c r="AD115" s="226">
        <f>IF(J115&lt;&gt;"Yes",
IF(S115&lt;=0,"Error: Effort value is not defined or is invalid.",
IF(AND(SUM(U115:W115)&gt;0,SUM(U115:W115)&lt;&gt;1),"Error: Complexity % distribution should sum to 100%.",
IF(AND(P115=AS_DEV_EFFORT,X115&lt;&gt;0),"Error: PDs should not be defined when defining as dev effort %.",
IF(AND(P115=AS_DURATION_EFFORT,X115&lt;&gt;0),"Error: PDs should not be defined when defining as duration effort %.","")))))</f>
        <v/>
      </c>
    </row>
    <row r="116" hidden="1" outlineLevel="2" ht="43.5" customHeight="1" s="337">
      <c r="A116" s="212" t="inlineStr">
        <is>
          <t>A</t>
        </is>
      </c>
      <c r="B116" s="14" t="n"/>
      <c r="C116" s="62" t="n"/>
      <c r="D116" s="62" t="n"/>
      <c r="E116" s="62" t="n"/>
      <c r="F116" s="63" t="n"/>
      <c r="G116" s="15" t="inlineStr">
        <is>
          <t>-</t>
        </is>
      </c>
      <c r="H116" s="15" t="inlineStr">
        <is>
          <t>-</t>
        </is>
      </c>
      <c r="I116" s="16" t="inlineStr">
        <is>
          <t>-</t>
        </is>
      </c>
      <c r="J116" s="15" t="inlineStr">
        <is>
          <t>-</t>
        </is>
      </c>
      <c r="K116" s="30" t="n"/>
      <c r="L116" s="15" t="n"/>
      <c r="M116" s="229">
        <f>IFERROR(OFFSET(M116,-1,,1,1)+0.1,OFFSET(M116,-1,-1,1,1)&amp;".1")</f>
        <v/>
      </c>
      <c r="N116" s="16" t="inlineStr">
        <is>
          <t>Task: &lt;task name&gt;
&gt;&gt; Activity</t>
        </is>
      </c>
      <c r="O116" s="16" t="n"/>
      <c r="P116" s="16" t="n"/>
      <c r="Q116" s="100" t="n">
        <v>15</v>
      </c>
      <c r="R116" s="95" t="n"/>
      <c r="S116" s="230">
        <f>CEILING((IF(J116="Yes", 0, IF(H116="-",AA116,AA116+AA116*VLOOKUP(H116,BUFFERS_BY_TYPE,2,FALSE)))) +
   (IF(J116="Yes", 0, IF(H116="-",AA116,AA116+AA116*VLOOKUP(H116,BUFFERS_BY_TYPE,2,FALSE))))*VLOOKUP($S$5, SALES_CALL_SCALE_ARRAY, 2,FALSE),0.25)</f>
        <v/>
      </c>
      <c r="T116" s="116" t="n"/>
      <c r="U116" s="17" t="n">
        <v>0</v>
      </c>
      <c r="V116" s="17" t="n">
        <v>1</v>
      </c>
      <c r="W116" s="17" t="n">
        <v>0</v>
      </c>
      <c r="X116" s="115" t="n">
        <v>2</v>
      </c>
      <c r="Y116" s="230">
        <f>CEILING((IF(P116=AS_DEV_EFFORT, DEV_EFFORT*Q116%,
                           IF(P116=AS_DURATION_EFFORT, (MANUAL_DURATION*5)*Q116%,
                                    (IF(Q116&lt;=1,X116,
                                          IF(SUM(U116:W116)=0,(Q116*X116),
                                               (((Q116*U116)*(X116+(X116*EXTRA_FOR_H)))+
                                               ((Q116*V116)*X116)+
                                               ((Q116*W116)*(X116-(X116*LESS_FOR_L)))
                                    )*IF(R116=0,1,R116))))))+Z116), 0.25)</f>
        <v/>
      </c>
      <c r="Z116" s="18" t="n"/>
      <c r="AA116" s="230">
        <f>Y116+Y116*VLOOKUP(I116,EXTRAS_ARRAY,2,FALSE)</f>
        <v/>
      </c>
      <c r="AB116" s="16" t="inlineStr">
        <is>
          <t>Cross-screen components × 15 × 2 PDs = 30 PDs: CouponField, CartQuantityStepper, ProductSearchAutocomplete, AppLoader, ProductCard, AccountDashboard, SocialSignInButtons, Header, Footer, UserMenu, email templates.</t>
        </is>
      </c>
      <c r="AC116" s="29" t="n"/>
      <c r="AD116" s="226">
        <f>IF(J116&lt;&gt;"Yes",
IF(S116&lt;=0,"Error: Effort value is not defined or is invalid.",
IF(AND(SUM(U116:W116)&gt;0,SUM(U116:W116)&lt;&gt;1),"Error: Complexity % distribution should sum to 100%.",
IF(AND(P116=AS_DEV_EFFORT,X116&lt;&gt;0),"Error: PDs should not be defined when defining as dev effort %.",
IF(AND(P116=AS_DURATION_EFFORT,X116&lt;&gt;0),"Error: PDs should not be defined when defining as duration effort %.","")))))</f>
        <v/>
      </c>
    </row>
    <row r="117" hidden="1" outlineLevel="2" ht="7.5" customFormat="1" customHeight="1" s="294">
      <c r="A117" s="212" t="inlineStr">
        <is>
          <t>T3</t>
        </is>
      </c>
      <c r="B117" s="12" t="n"/>
      <c r="C117" s="56" t="n"/>
      <c r="D117" s="56" t="n"/>
      <c r="E117" s="56" t="n"/>
      <c r="F117" s="56" t="n"/>
      <c r="M117" s="180" t="n"/>
      <c r="T117" s="12" t="n"/>
      <c r="X117" s="12" t="n"/>
      <c r="AB117" s="7" t="n"/>
      <c r="AC117" s="7" t="n"/>
      <c r="AD117" s="7" t="n"/>
    </row>
    <row r="118" outlineLevel="1" ht="15.5" customFormat="1" customHeight="1" s="298">
      <c r="A118" s="212" t="inlineStr">
        <is>
          <t>M</t>
        </is>
      </c>
      <c r="B118" s="14" t="n"/>
      <c r="C118" s="61" t="n"/>
      <c r="D118" s="61" t="n"/>
      <c r="E118" s="61" t="n"/>
      <c r="F118" s="60" t="n"/>
      <c r="G118" s="125" t="n"/>
      <c r="H118" s="125" t="n"/>
      <c r="I118" s="125" t="n"/>
      <c r="J118" s="125" t="n"/>
      <c r="K118" s="125" t="n"/>
      <c r="L118" s="69" t="inlineStr">
        <is>
          <t>→</t>
        </is>
      </c>
      <c r="M118" s="311" t="inlineStr">
        <is>
          <t>Data Migration</t>
        </is>
      </c>
      <c r="N118" s="302" t="n"/>
      <c r="O118" s="64" t="n"/>
      <c r="P118" s="65" t="n"/>
      <c r="Q118" s="65" t="n"/>
      <c r="R118" s="65" t="n"/>
      <c r="S118" s="352">
        <f>SUMGROUP(ROW(), "T")</f>
        <v/>
      </c>
      <c r="T118" s="302" t="n"/>
      <c r="U118" s="309" t="n"/>
      <c r="V118" s="302" t="n"/>
      <c r="W118" s="302" t="n"/>
      <c r="X118" s="66" t="n"/>
      <c r="Y118" s="67" t="n"/>
      <c r="Z118" s="67" t="n"/>
      <c r="AA118" s="67" t="n"/>
      <c r="AB118" s="156" t="n"/>
      <c r="AC118" s="68" t="n"/>
      <c r="AD118" s="226">
        <f>IF(M118="", "Error: Module name cannot be empty.", "")</f>
        <v/>
      </c>
    </row>
    <row r="119" outlineLevel="1" collapsed="1" ht="15.5" customFormat="1" customHeight="1" s="298">
      <c r="A119" s="212" t="inlineStr">
        <is>
          <t>T1</t>
        </is>
      </c>
      <c r="B119" s="14" t="n"/>
      <c r="C119" s="61" t="n"/>
      <c r="D119" s="61" t="n"/>
      <c r="E119" s="61" t="n"/>
      <c r="F119" s="60" t="n"/>
      <c r="G119" s="24" t="n"/>
      <c r="H119" s="24" t="n"/>
      <c r="I119" s="24" t="n"/>
      <c r="J119" s="24" t="n"/>
      <c r="K119" s="24" t="n"/>
      <c r="L119" s="223">
        <f>LOOKUP(1000,INDIRECT("L1:"&amp;CELL("address",INDIRECT("R[-1]C",FALSE))))+1</f>
        <v/>
      </c>
      <c r="M119" s="301" t="inlineStr">
        <is>
          <t>Data Migration ETL Process</t>
        </is>
      </c>
      <c r="N119" s="302" t="n"/>
      <c r="O119" s="4" t="n"/>
      <c r="P119" s="25" t="n"/>
      <c r="Q119" s="25" t="n"/>
      <c r="R119" s="25" t="n"/>
      <c r="S119" s="25" t="n"/>
      <c r="T119" s="225">
        <f>IF($S$6="Exclude", SUMIFS(S120:S123, J120:J123, "&lt;&gt;Yes", G120:G123, "&lt;&gt;Yes"), SUMIFS(S120:S123, J120:J123, "&lt;&gt;Yes"))</f>
        <v/>
      </c>
      <c r="U119" s="25" t="n"/>
      <c r="V119" s="25" t="n"/>
      <c r="W119" s="25" t="n"/>
      <c r="X119" s="26" t="n"/>
      <c r="Y119" s="27" t="n"/>
      <c r="Z119" s="27" t="n"/>
      <c r="AA119" s="27" t="n"/>
      <c r="AB119" s="155" t="n"/>
      <c r="AC119" s="28" t="n"/>
      <c r="AD119" s="226">
        <f>IF(M119="", "Error: Task name cannot be empty.", "")</f>
        <v/>
      </c>
    </row>
    <row r="120" hidden="1" outlineLevel="2" ht="1.5" customFormat="1" customHeight="1" s="9">
      <c r="A120" s="212" t="inlineStr">
        <is>
          <t>T2</t>
        </is>
      </c>
      <c r="B120" s="14" t="n"/>
      <c r="C120" s="61" t="n"/>
      <c r="D120" s="61" t="n"/>
      <c r="E120" s="61" t="n"/>
      <c r="F120" s="60" t="n"/>
      <c r="G120" s="24" t="n"/>
      <c r="H120" s="24" t="n"/>
      <c r="I120" s="24" t="n"/>
      <c r="J120" s="24" t="n"/>
      <c r="K120" s="24" t="n"/>
      <c r="L120" s="227">
        <f>L119</f>
        <v/>
      </c>
      <c r="M120" s="228" t="inlineStr">
        <is>
          <t>X</t>
        </is>
      </c>
      <c r="N120" s="118" t="n"/>
      <c r="O120" s="119" t="n"/>
      <c r="P120" s="25" t="n"/>
      <c r="Q120" s="25" t="n"/>
      <c r="R120" s="25" t="n"/>
      <c r="S120" s="25" t="n"/>
      <c r="T120" s="114" t="n"/>
      <c r="U120" s="25" t="n"/>
      <c r="V120" s="25" t="n"/>
      <c r="W120" s="25" t="n"/>
      <c r="X120" s="26" t="n"/>
      <c r="Y120" s="27" t="n"/>
      <c r="Z120" s="27" t="n"/>
      <c r="AA120" s="27" t="n"/>
      <c r="AB120" s="28" t="n"/>
      <c r="AC120" s="28" t="n"/>
      <c r="AD120" s="19" t="n"/>
    </row>
    <row r="121" hidden="1" outlineLevel="2" ht="43.5" customHeight="1" s="337">
      <c r="A121" s="212" t="inlineStr">
        <is>
          <t>A</t>
        </is>
      </c>
      <c r="B121" s="14" t="n"/>
      <c r="C121" s="62" t="n"/>
      <c r="D121" s="62" t="n"/>
      <c r="E121" s="62" t="n"/>
      <c r="F121" s="63" t="n"/>
      <c r="G121" s="15" t="inlineStr">
        <is>
          <t>-</t>
        </is>
      </c>
      <c r="H121" s="15" t="inlineStr">
        <is>
          <t>-</t>
        </is>
      </c>
      <c r="I121" s="16" t="inlineStr">
        <is>
          <t>-</t>
        </is>
      </c>
      <c r="J121" s="15" t="inlineStr">
        <is>
          <t>Yes</t>
        </is>
      </c>
      <c r="K121" s="30" t="n"/>
      <c r="L121" s="15" t="n"/>
      <c r="M121" s="229">
        <f>IFERROR(OFFSET(M121,-1,,1,1)+0.1,OFFSET(M121,-1,-1,1,1)&amp;".1")</f>
        <v/>
      </c>
      <c r="N121" s="16" t="inlineStr">
        <is>
          <t>&gt;&gt; From older to new database
&gt;&gt; ETL Process and data de-duplication</t>
        </is>
      </c>
      <c r="O121" s="16" t="n"/>
      <c r="P121" s="16" t="n"/>
      <c r="Q121" s="100" t="n"/>
      <c r="R121" s="95" t="n"/>
      <c r="S121" s="230">
        <f>CEILING((IF(J121="Yes", 0, IF(H121="-",AA121,AA121+AA121*VLOOKUP(H121,BUFFERS_BY_TYPE,2,FALSE)))) +
   (IF(J121="Yes", 0, IF(H121="-",AA121,AA121+AA121*VLOOKUP(H121,BUFFERS_BY_TYPE,2,FALSE))))*VLOOKUP($S$5, SALES_CALL_SCALE_ARRAY, 2,FALSE),0.25)</f>
        <v/>
      </c>
      <c r="T121" s="116" t="n"/>
      <c r="U121" s="17" t="n">
        <v>0</v>
      </c>
      <c r="V121" s="17" t="n">
        <v>1</v>
      </c>
      <c r="W121" s="17" t="n">
        <v>0</v>
      </c>
      <c r="X121" s="115" t="n"/>
      <c r="Y121" s="230">
        <f>CEILING((IF(P121=AS_DEV_EFFORT, DEV_EFFORT*Q121%,
                           IF(P121=AS_DURATION_EFFORT, (MANUAL_DURATION*5)*Q121%,
                                    (IF(Q121&lt;=1,X121,
                                          IF(SUM(U121:W121)=0,(Q121*X121),
                                               (((Q121*U121)*(X121+(X121*EXTRA_FOR_H)))+
                                               ((Q121*V121)*X121)+
                                               ((Q121*W121)*(X121-(X121*LESS_FOR_L)))
                                    )*IF(R121=0,1,R121))))))+Z121), 0.25)</f>
        <v/>
      </c>
      <c r="Z121" s="18" t="n"/>
      <c r="AA121" s="230">
        <f>Y121+Y121*VLOOKUP(I121,EXTRAS_ARRAY,2,FALSE)</f>
        <v/>
      </c>
      <c r="AB121" s="16" t="inlineStr">
        <is>
          <t>Excluded: no legacy → new ETL in MVP. Data is greenfield; legacy import deferred to Phase 3.</t>
        </is>
      </c>
      <c r="AC121" s="29" t="n"/>
      <c r="AD121" s="226">
        <f>IF(J121&lt;&gt;"Yes",
IF(S121&lt;=0,"Error: Effort value is not defined or is invalid.",
IF(AND(SUM(U121:W121)&gt;0,SUM(U121:W121)&lt;&gt;1),"Error: Complexity % distribution should sum to 100%.",
IF(AND(P121=AS_DEV_EFFORT,X121&lt;&gt;0),"Error: PDs should not be defined when defining as dev effort %.",
IF(AND(P121=AS_DURATION_EFFORT,X121&lt;&gt;0),"Error: PDs should not be defined when defining as duration effort %.","")))))</f>
        <v/>
      </c>
    </row>
    <row r="122" hidden="1" outlineLevel="2" ht="58" customHeight="1" s="337">
      <c r="A122" s="212" t="inlineStr">
        <is>
          <t>A</t>
        </is>
      </c>
      <c r="B122" s="14" t="n"/>
      <c r="C122" s="62" t="n"/>
      <c r="D122" s="62" t="n"/>
      <c r="E122" s="62" t="n"/>
      <c r="F122" s="63" t="n"/>
      <c r="G122" s="15" t="inlineStr">
        <is>
          <t>-</t>
        </is>
      </c>
      <c r="H122" s="15" t="inlineStr">
        <is>
          <t>-</t>
        </is>
      </c>
      <c r="I122" s="16" t="inlineStr">
        <is>
          <t>-</t>
        </is>
      </c>
      <c r="J122" s="15" t="inlineStr">
        <is>
          <t>Yes</t>
        </is>
      </c>
      <c r="K122" s="30" t="n"/>
      <c r="L122" s="15" t="n"/>
      <c r="M122" s="229">
        <f>IFERROR(OFFSET(M122,-1,,1,1)+0.1,OFFSET(M122,-1,-1,1,1)&amp;".1")</f>
        <v/>
      </c>
      <c r="N122" s="16" t="inlineStr">
        <is>
          <t>Task activity
&gt;&gt; Scope Item 1 
&gt;&gt; Scope Item 2
&gt;&gt; Scope Item 3</t>
        </is>
      </c>
      <c r="O122" s="16" t="n"/>
      <c r="P122" s="16" t="n"/>
      <c r="Q122" s="100" t="n"/>
      <c r="R122" s="95" t="n"/>
      <c r="S122" s="230">
        <f>CEILING((IF(J122="Yes", 0, IF(H122="-",AA122,AA122+AA122*VLOOKUP(H122,BUFFERS_BY_TYPE,2,FALSE)))) +
   (IF(J122="Yes", 0, IF(H122="-",AA122,AA122+AA122*VLOOKUP(H122,BUFFERS_BY_TYPE,2,FALSE))))*VLOOKUP($S$5, SALES_CALL_SCALE_ARRAY, 2,FALSE),0.25)</f>
        <v/>
      </c>
      <c r="T122" s="116" t="n"/>
      <c r="U122" s="17" t="n">
        <v>0</v>
      </c>
      <c r="V122" s="17" t="n">
        <v>1</v>
      </c>
      <c r="W122" s="17" t="n">
        <v>0</v>
      </c>
      <c r="X122" s="115" t="n"/>
      <c r="Y122" s="230">
        <f>CEILING((IF(P122=AS_DEV_EFFORT, DEV_EFFORT*Q122%,
                           IF(P122=AS_DURATION_EFFORT, (MANUAL_DURATION*5)*Q122%,
                                    (IF(Q122&lt;=1,X122,
                                          IF(SUM(U122:W122)=0,(Q122*X122),
                                               (((Q122*U122)*(X122+(X122*EXTRA_FOR_H)))+
                                               ((Q122*V122)*X122)+
                                               ((Q122*W122)*(X122-(X122*LESS_FOR_L)))
                                    )*IF(R122=0,1,R122))))))+Z122), 0.25)</f>
        <v/>
      </c>
      <c r="Z122" s="18" t="n"/>
      <c r="AA122" s="230">
        <f>Y122+Y122*VLOOKUP(I122,EXTRAS_ARRAY,2,FALSE)</f>
        <v/>
      </c>
      <c r="AB122" s="16" t="inlineStr">
        <is>
          <t>Excluded: see row 121 — no ETL pipeline in scope for Phase 1 / 2.</t>
        </is>
      </c>
      <c r="AC122" s="29" t="n"/>
      <c r="AD122" s="226">
        <f>IF(J122&lt;&gt;"Yes",
IF(S122&lt;=0,"Error: Effort value is not defined or is invalid.",
IF(AND(SUM(U122:W122)&gt;0,SUM(U122:W122)&lt;&gt;1),"Error: Complexity % distribution should sum to 100%.",
IF(AND(P122=AS_DEV_EFFORT,X122&lt;&gt;0),"Error: PDs should not be defined when defining as dev effort %.",
IF(AND(P122=AS_DURATION_EFFORT,X122&lt;&gt;0),"Error: PDs should not be defined when defining as duration effort %.","")))))</f>
        <v/>
      </c>
    </row>
    <row r="123" hidden="1" outlineLevel="2" ht="7.5" customFormat="1" customHeight="1" s="294">
      <c r="A123" s="212" t="inlineStr">
        <is>
          <t>T3</t>
        </is>
      </c>
      <c r="B123" s="12" t="n"/>
      <c r="C123" s="56" t="n"/>
      <c r="D123" s="56" t="n"/>
      <c r="E123" s="56" t="n"/>
      <c r="F123" s="56" t="n"/>
      <c r="M123" s="180" t="n"/>
      <c r="T123" s="12" t="n"/>
      <c r="X123" s="12" t="n"/>
      <c r="AB123" s="7" t="n"/>
      <c r="AC123" s="7" t="n"/>
      <c r="AD123" s="7" t="n"/>
    </row>
    <row r="124" outlineLevel="1" collapsed="1" ht="15.5" customFormat="1" customHeight="1" s="298">
      <c r="A124" s="212" t="inlineStr">
        <is>
          <t>T1</t>
        </is>
      </c>
      <c r="B124" s="14" t="n"/>
      <c r="C124" s="61" t="n"/>
      <c r="D124" s="61" t="n"/>
      <c r="E124" s="61" t="n"/>
      <c r="F124" s="60" t="n"/>
      <c r="G124" s="24" t="n"/>
      <c r="H124" s="24" t="n"/>
      <c r="I124" s="24" t="n"/>
      <c r="J124" s="24" t="n"/>
      <c r="K124" s="24" t="n"/>
      <c r="L124" s="223">
        <f>LOOKUP(1000,INDIRECT("L1:"&amp;CELL("address",INDIRECT("R[-1]C",FALSE))))+1</f>
        <v/>
      </c>
      <c r="M124" s="301" t="inlineStr">
        <is>
          <t>Data Migration Execution</t>
        </is>
      </c>
      <c r="N124" s="302" t="n"/>
      <c r="O124" s="4" t="n"/>
      <c r="P124" s="25" t="n"/>
      <c r="Q124" s="25" t="n"/>
      <c r="R124" s="25" t="n"/>
      <c r="S124" s="25" t="n"/>
      <c r="T124" s="225">
        <f>IF($S$6="Exclude", SUMIFS(S125:S127, J125:J127, "&lt;&gt;Yes", G125:G127, "&lt;&gt;Yes"), SUMIFS(S125:S127, J125:J127, "&lt;&gt;Yes"))</f>
        <v/>
      </c>
      <c r="U124" s="25" t="n"/>
      <c r="V124" s="25" t="n"/>
      <c r="W124" s="25" t="n"/>
      <c r="X124" s="26" t="n"/>
      <c r="Y124" s="27" t="n"/>
      <c r="Z124" s="27" t="n"/>
      <c r="AA124" s="27" t="n"/>
      <c r="AB124" s="155" t="n"/>
      <c r="AC124" s="28" t="n"/>
      <c r="AD124" s="226">
        <f>IF(M124="", "Error: Task name cannot be empty.", "")</f>
        <v/>
      </c>
    </row>
    <row r="125" hidden="1" outlineLevel="2" ht="1.5" customFormat="1" customHeight="1" s="9">
      <c r="A125" s="212" t="inlineStr">
        <is>
          <t>T2</t>
        </is>
      </c>
      <c r="B125" s="14" t="n"/>
      <c r="C125" s="61" t="n"/>
      <c r="D125" s="61" t="n"/>
      <c r="E125" s="61" t="n"/>
      <c r="F125" s="60" t="n"/>
      <c r="G125" s="24" t="n"/>
      <c r="H125" s="24" t="n"/>
      <c r="I125" s="24" t="n"/>
      <c r="J125" s="24" t="n"/>
      <c r="K125" s="24" t="n"/>
      <c r="L125" s="227">
        <f>L124</f>
        <v/>
      </c>
      <c r="M125" s="228" t="inlineStr">
        <is>
          <t>X</t>
        </is>
      </c>
      <c r="N125" s="118" t="n"/>
      <c r="O125" s="119" t="n"/>
      <c r="P125" s="25" t="n"/>
      <c r="Q125" s="25" t="n"/>
      <c r="R125" s="25" t="n"/>
      <c r="S125" s="25" t="n"/>
      <c r="T125" s="114" t="n"/>
      <c r="U125" s="25" t="n"/>
      <c r="V125" s="25" t="n"/>
      <c r="W125" s="25" t="n"/>
      <c r="X125" s="26" t="n"/>
      <c r="Y125" s="27" t="n"/>
      <c r="Z125" s="27" t="n"/>
      <c r="AA125" s="27" t="n"/>
      <c r="AB125" s="28" t="n"/>
      <c r="AC125" s="28" t="n"/>
      <c r="AD125" s="19" t="n"/>
    </row>
    <row r="126" hidden="1" outlineLevel="2" ht="43.5" customHeight="1" s="337">
      <c r="A126" s="212" t="inlineStr">
        <is>
          <t>A</t>
        </is>
      </c>
      <c r="B126" s="14" t="n"/>
      <c r="C126" s="62" t="n"/>
      <c r="D126" s="62" t="n"/>
      <c r="E126" s="62" t="n"/>
      <c r="F126" s="63" t="n"/>
      <c r="G126" s="15" t="inlineStr">
        <is>
          <t>-</t>
        </is>
      </c>
      <c r="H126" s="15" t="inlineStr">
        <is>
          <t>-</t>
        </is>
      </c>
      <c r="I126" s="16" t="inlineStr">
        <is>
          <t>-</t>
        </is>
      </c>
      <c r="J126" s="15" t="inlineStr">
        <is>
          <t>Yes</t>
        </is>
      </c>
      <c r="K126" s="30" t="n"/>
      <c r="L126" s="15" t="n"/>
      <c r="M126" s="229">
        <f>IFERROR(OFFSET(M126,-1,,1,1)+0.1,OFFSET(M126,-1,-1,1,1)&amp;".1")</f>
        <v/>
      </c>
      <c r="N126" s="16" t="inlineStr">
        <is>
          <t>&gt;&gt; From older to new SQL Server DB
&gt;&gt; Master Script</t>
        </is>
      </c>
      <c r="O126" s="16" t="n"/>
      <c r="P126" s="16" t="n"/>
      <c r="Q126" s="100" t="n"/>
      <c r="R126" s="95" t="n"/>
      <c r="S126" s="230">
        <f>CEILING((IF(J126="Yes", 0, IF(H126="-",AA126,AA126+AA126*VLOOKUP(H126,BUFFERS_BY_TYPE,2,FALSE)))) +
   (IF(J126="Yes", 0, IF(H126="-",AA126,AA126+AA126*VLOOKUP(H126,BUFFERS_BY_TYPE,2,FALSE))))*VLOOKUP($S$5, SALES_CALL_SCALE_ARRAY, 2,FALSE),0.25)</f>
        <v/>
      </c>
      <c r="T126" s="116" t="n"/>
      <c r="U126" s="17" t="n">
        <v>0</v>
      </c>
      <c r="V126" s="17" t="n">
        <v>1</v>
      </c>
      <c r="W126" s="17" t="n">
        <v>0</v>
      </c>
      <c r="X126" s="115" t="n"/>
      <c r="Y126" s="230">
        <f>CEILING((IF(P126=AS_DEV_EFFORT, DEV_EFFORT*Q126%,
                           IF(P126=AS_DURATION_EFFORT, (MANUAL_DURATION*5)*Q126%,
                                    (IF(Q126&lt;=1,X126,
                                          IF(SUM(U126:W126)=0,(Q126*X126),
                                               (((Q126*U126)*(X126+(X126*EXTRA_FOR_H)))+
                                               ((Q126*V126)*X126)+
                                               ((Q126*W126)*(X126-(X126*LESS_FOR_L)))
                                    )*IF(R126=0,1,R126))))))+Z126), 0.25)</f>
        <v/>
      </c>
      <c r="Z126" s="18" t="n"/>
      <c r="AA126" s="230">
        <f>Y126+Y126*VLOOKUP(I126,EXTRAS_ARRAY,2,FALSE)</f>
        <v/>
      </c>
      <c r="AB126" s="16" t="inlineStr">
        <is>
          <t>Excluded: no SQL Server migration; Postgres provisioned fresh.</t>
        </is>
      </c>
      <c r="AC126" s="29" t="n"/>
      <c r="AD126" s="226">
        <f>IF(J126&lt;&gt;"Yes",
IF(S126&lt;=0,"Error: Effort value is not defined or is invalid.",
IF(AND(SUM(U126:W126)&gt;0,SUM(U126:W126)&lt;&gt;1),"Error: Complexity % distribution should sum to 100%.",
IF(AND(P126=AS_DEV_EFFORT,X126&lt;&gt;0),"Error: PDs should not be defined when defining as dev effort %.",
IF(AND(P126=AS_DURATION_EFFORT,X126&lt;&gt;0),"Error: PDs should not be defined when defining as duration effort %.","")))))</f>
        <v/>
      </c>
    </row>
    <row r="127" hidden="1" outlineLevel="2" ht="7.5" customFormat="1" customHeight="1" s="294">
      <c r="A127" s="212" t="inlineStr">
        <is>
          <t>T3</t>
        </is>
      </c>
      <c r="B127" s="12" t="n"/>
      <c r="C127" s="56" t="n"/>
      <c r="D127" s="56" t="n"/>
      <c r="E127" s="56" t="n"/>
      <c r="F127" s="56" t="n"/>
      <c r="M127" s="180" t="n"/>
      <c r="T127" s="12" t="n"/>
      <c r="X127" s="12" t="n"/>
      <c r="AB127" s="7" t="n"/>
      <c r="AC127" s="7" t="n"/>
      <c r="AD127" s="7" t="n"/>
    </row>
    <row r="128" outlineLevel="1" ht="15.5" customFormat="1" customHeight="1" s="298">
      <c r="A128" s="212" t="inlineStr">
        <is>
          <t>M</t>
        </is>
      </c>
      <c r="B128" s="14" t="n"/>
      <c r="C128" s="61" t="n"/>
      <c r="D128" s="61" t="n"/>
      <c r="E128" s="61" t="n"/>
      <c r="F128" s="60" t="n"/>
      <c r="G128" s="125" t="n"/>
      <c r="H128" s="125" t="n"/>
      <c r="I128" s="125" t="n"/>
      <c r="J128" s="125" t="n"/>
      <c r="K128" s="125" t="n"/>
      <c r="L128" s="69" t="inlineStr">
        <is>
          <t>→</t>
        </is>
      </c>
      <c r="M128" s="311" t="inlineStr">
        <is>
          <t>System Stabilization</t>
        </is>
      </c>
      <c r="N128" s="302" t="n"/>
      <c r="O128" s="64" t="n"/>
      <c r="P128" s="65" t="n"/>
      <c r="Q128" s="65" t="n"/>
      <c r="R128" s="65" t="n"/>
      <c r="S128" s="352">
        <f>SUMGROUP(ROW(), "T")</f>
        <v/>
      </c>
      <c r="T128" s="302" t="n"/>
      <c r="U128" s="309" t="n"/>
      <c r="V128" s="302" t="n"/>
      <c r="W128" s="302" t="n"/>
      <c r="X128" s="66" t="n"/>
      <c r="Y128" s="67" t="n"/>
      <c r="Z128" s="67" t="n"/>
      <c r="AA128" s="67" t="n"/>
      <c r="AB128" s="156" t="n"/>
      <c r="AC128" s="68" t="n"/>
      <c r="AD128" s="226">
        <f>IF(M128="", "Error: Module name cannot be empty.", "")</f>
        <v/>
      </c>
    </row>
    <row r="129" outlineLevel="1" collapsed="1" ht="15.5" customFormat="1" customHeight="1" s="298">
      <c r="A129" s="212" t="inlineStr">
        <is>
          <t>T1</t>
        </is>
      </c>
      <c r="B129" s="14" t="n"/>
      <c r="C129" s="61" t="n"/>
      <c r="D129" s="61" t="n"/>
      <c r="E129" s="61" t="n"/>
      <c r="F129" s="60" t="n"/>
      <c r="G129" s="24" t="n"/>
      <c r="H129" s="24" t="n"/>
      <c r="I129" s="24" t="n"/>
      <c r="J129" s="24" t="n"/>
      <c r="K129" s="24" t="n"/>
      <c r="L129" s="223">
        <f>LOOKUP(1000,INDIRECT("L1:"&amp;CELL("address",INDIRECT("R[-1]C",FALSE))))+1</f>
        <v/>
      </c>
      <c r="M129" s="301" t="inlineStr">
        <is>
          <t>System Stabilization</t>
        </is>
      </c>
      <c r="N129" s="302" t="n"/>
      <c r="O129" s="4" t="n"/>
      <c r="P129" s="25" t="n"/>
      <c r="Q129" s="25" t="n"/>
      <c r="R129" s="25" t="n"/>
      <c r="S129" s="25" t="n"/>
      <c r="T129" s="225">
        <f>IF($S$6="Exclude", SUMIFS(S130:S133, J130:J133, "&lt;&gt;Yes", G130:G133, "&lt;&gt;Yes"), SUMIFS(S130:S133, J130:J133, "&lt;&gt;Yes"))</f>
        <v/>
      </c>
      <c r="U129" s="25" t="n"/>
      <c r="V129" s="25" t="n"/>
      <c r="W129" s="25" t="n"/>
      <c r="X129" s="26" t="n"/>
      <c r="Y129" s="27" t="n"/>
      <c r="Z129" s="27" t="n"/>
      <c r="AA129" s="27" t="n"/>
      <c r="AB129" s="155" t="n"/>
      <c r="AC129" s="28" t="n"/>
      <c r="AD129" s="226">
        <f>IF(M129="", "Error: Task name cannot be empty.", "")</f>
        <v/>
      </c>
    </row>
    <row r="130" hidden="1" outlineLevel="2" ht="1.5" customFormat="1" customHeight="1" s="9">
      <c r="A130" s="212" t="inlineStr">
        <is>
          <t>T2</t>
        </is>
      </c>
      <c r="B130" s="14" t="n"/>
      <c r="C130" s="61" t="n"/>
      <c r="D130" s="61" t="n"/>
      <c r="E130" s="61" t="n"/>
      <c r="F130" s="60" t="n"/>
      <c r="G130" s="24" t="n"/>
      <c r="H130" s="24" t="n"/>
      <c r="I130" s="24" t="n"/>
      <c r="J130" s="24" t="n"/>
      <c r="K130" s="24" t="n"/>
      <c r="L130" s="227">
        <f>L129</f>
        <v/>
      </c>
      <c r="M130" s="228" t="inlineStr">
        <is>
          <t>X</t>
        </is>
      </c>
      <c r="N130" s="118" t="n"/>
      <c r="O130" s="119" t="n"/>
      <c r="P130" s="25" t="n"/>
      <c r="Q130" s="25" t="n"/>
      <c r="R130" s="25" t="n"/>
      <c r="S130" s="25" t="n"/>
      <c r="T130" s="114" t="n"/>
      <c r="U130" s="25" t="n"/>
      <c r="V130" s="25" t="n"/>
      <c r="W130" s="25" t="n"/>
      <c r="X130" s="26" t="n"/>
      <c r="Y130" s="27" t="n"/>
      <c r="Z130" s="27" t="n"/>
      <c r="AA130" s="27" t="n"/>
      <c r="AB130" s="28" t="n"/>
      <c r="AC130" s="28" t="n"/>
      <c r="AD130" s="19" t="n"/>
    </row>
    <row r="131" hidden="1" outlineLevel="2" ht="43.5" customHeight="1" s="337">
      <c r="A131" s="212" t="inlineStr">
        <is>
          <t>A</t>
        </is>
      </c>
      <c r="B131" s="14" t="n"/>
      <c r="C131" s="62" t="n"/>
      <c r="D131" s="62" t="n"/>
      <c r="E131" s="62" t="n"/>
      <c r="F131" s="63" t="n"/>
      <c r="G131" s="15" t="inlineStr">
        <is>
          <t>-</t>
        </is>
      </c>
      <c r="H131" s="15" t="inlineStr">
        <is>
          <t>-</t>
        </is>
      </c>
      <c r="I131" s="16" t="inlineStr">
        <is>
          <t>-</t>
        </is>
      </c>
      <c r="J131" s="15" t="inlineStr">
        <is>
          <t>-</t>
        </is>
      </c>
      <c r="K131" s="30" t="n"/>
      <c r="L131" s="15" t="n"/>
      <c r="M131" s="229">
        <f>IFERROR(OFFSET(M131,-1,,1,1)+0.1,OFFSET(M131,-1,-1,1,1)&amp;".1")</f>
        <v/>
      </c>
      <c r="N131" s="16" t="inlineStr">
        <is>
          <t>Performance tuning</t>
        </is>
      </c>
      <c r="O131" s="16" t="n"/>
      <c r="P131" s="16" t="n"/>
      <c r="Q131" s="100" t="n">
        <v>1</v>
      </c>
      <c r="R131" s="95" t="n"/>
      <c r="S131" s="230">
        <f>CEILING((IF(J131="Yes", 0, IF(H131="-",AA131,AA131+AA131*VLOOKUP(H131,BUFFERS_BY_TYPE,2,FALSE)))) +
   (IF(J131="Yes", 0, IF(H131="-",AA131,AA131+AA131*VLOOKUP(H131,BUFFERS_BY_TYPE,2,FALSE))))*VLOOKUP($S$5, SALES_CALL_SCALE_ARRAY, 2,FALSE),0.25)</f>
        <v/>
      </c>
      <c r="T131" s="116" t="n"/>
      <c r="U131" s="17" t="n">
        <v>0</v>
      </c>
      <c r="V131" s="17" t="n">
        <v>1</v>
      </c>
      <c r="W131" s="17" t="n">
        <v>0</v>
      </c>
      <c r="X131" s="115" t="n">
        <v>2</v>
      </c>
      <c r="Y131" s="230">
        <f>CEILING((IF(P131=AS_DEV_EFFORT, DEV_EFFORT*Q131%,
                           IF(P131=AS_DURATION_EFFORT, (MANUAL_DURATION*5)*Q131%,
                                    (IF(Q131&lt;=1,X131,
                                          IF(SUM(U131:W131)=0,(Q131*X131),
                                               (((Q131*U131)*(X131+(X131*EXTRA_FOR_H)))+
                                               ((Q131*V131)*X131)+
                                               ((Q131*W131)*(X131-(X131*LESS_FOR_L)))
                                    )*IF(R131=0,1,R131))))))+Z131), 0.25)</f>
        <v/>
      </c>
      <c r="Z131" s="18" t="n"/>
      <c r="AA131" s="230">
        <f>Y131+Y131*VLOOKUP(I131,EXTRAS_ARRAY,2,FALSE)</f>
        <v/>
      </c>
      <c r="AB131" s="16" t="inlineStr">
        <is>
          <t>Performance tuning: Lighthouse budgets, MUI package import optimization, next/image, RSC streaming (2 PDs).</t>
        </is>
      </c>
      <c r="AC131" s="29" t="n"/>
      <c r="AD131" s="226">
        <f>IF(J131&lt;&gt;"Yes",
IF(S131&lt;=0,"Error: Effort value is not defined or is invalid.",
IF(AND(SUM(U131:W131)&gt;0,SUM(U131:W131)&lt;&gt;1),"Error: Complexity % distribution should sum to 100%.",
IF(AND(P131=AS_DEV_EFFORT,X131&lt;&gt;0),"Error: PDs should not be defined when defining as dev effort %.",
IF(AND(P131=AS_DURATION_EFFORT,X131&lt;&gt;0),"Error: PDs should not be defined when defining as duration effort %.","")))))</f>
        <v/>
      </c>
    </row>
    <row r="132" hidden="1" outlineLevel="2" ht="43.5" customHeight="1" s="337">
      <c r="A132" s="212" t="inlineStr">
        <is>
          <t>A</t>
        </is>
      </c>
      <c r="B132" s="14" t="n"/>
      <c r="C132" s="62" t="n"/>
      <c r="D132" s="62" t="n"/>
      <c r="E132" s="62" t="n"/>
      <c r="F132" s="63" t="n"/>
      <c r="G132" s="15" t="inlineStr">
        <is>
          <t>-</t>
        </is>
      </c>
      <c r="H132" s="15" t="inlineStr">
        <is>
          <t>-</t>
        </is>
      </c>
      <c r="I132" s="16" t="inlineStr">
        <is>
          <t>-</t>
        </is>
      </c>
      <c r="J132" s="15" t="inlineStr">
        <is>
          <t>-</t>
        </is>
      </c>
      <c r="K132" s="30" t="inlineStr">
        <is>
          <t>This effort should be calculated by summing up all tasks/groups other than System Stabilization.</t>
        </is>
      </c>
      <c r="L132" s="15" t="n"/>
      <c r="M132" s="229">
        <f>IFERROR(OFFSET(M132,-1,,1,1)+0.1,OFFSET(M132,-1,-1,1,1)&amp;".1")</f>
        <v/>
      </c>
      <c r="N132" s="16" t="inlineStr">
        <is>
          <t>Bug fixing</t>
        </is>
      </c>
      <c r="O132" s="16" t="n"/>
      <c r="P132" s="16" t="n"/>
      <c r="Q132" s="100" t="n">
        <v>1</v>
      </c>
      <c r="R132" s="95" t="n"/>
      <c r="S132" s="230">
        <f>CEILING((IF(J132="Yes", 0, IF(H132="-",AA132,AA132+AA132*VLOOKUP(H132,BUFFERS_BY_TYPE,2,FALSE)))) +
   (IF(J132="Yes", 0, IF(H132="-",AA132,AA132+AA132*VLOOKUP(H132,BUFFERS_BY_TYPE,2,FALSE))))*VLOOKUP($S$5, SALES_CALL_SCALE_ARRAY, 2,FALSE),0.25)</f>
        <v/>
      </c>
      <c r="T132" s="116" t="n"/>
      <c r="U132" s="17" t="n">
        <v>0</v>
      </c>
      <c r="V132" s="17" t="n">
        <v>1</v>
      </c>
      <c r="W132" s="17" t="n">
        <v>0</v>
      </c>
      <c r="X132" s="115" t="n">
        <v>3</v>
      </c>
      <c r="Y132" s="230">
        <f>CEILING((IF(P132=AS_DEV_EFFORT, DEV_EFFORT*Q132%,
                           IF(P132=AS_DURATION_EFFORT, (MANUAL_DURATION*5)*Q132%,
                                    (IF(Q132&lt;=1,X132,
                                          IF(SUM(U132:W132)=0,(Q132*X132),
                                               (((Q132*U132)*(X132+(X132*EXTRA_FOR_H)))+
                                               ((Q132*V132)*X132)+
                                               ((Q132*W132)*(X132-(X132*LESS_FOR_L)))
                                    )*IF(R132=0,1,R132))))))+Z132), 0.25)</f>
        <v/>
      </c>
      <c r="Z132" s="18" t="n"/>
      <c r="AA132" s="230">
        <f>Y132+Y132*VLOOKUP(I132,EXTRAS_ARRAY,2,FALSE)</f>
        <v/>
      </c>
      <c r="AB132" s="16" t="inlineStr">
        <is>
          <t>Bug-fixing capacity sized at ~10% of dev effort (3 PDs hardening).</t>
        </is>
      </c>
      <c r="AC132" s="29" t="n"/>
      <c r="AD132" s="226">
        <f>IF(J132&lt;&gt;"Yes",
IF(S132&lt;=0,"Error: Effort value is not defined or is invalid.",
IF(AND(SUM(U132:W132)&gt;0,SUM(U132:W132)&lt;&gt;1),"Error: Complexity % distribution should sum to 100%.",
IF(AND(P132=AS_DEV_EFFORT,X132&lt;&gt;0),"Error: PDs should not be defined when defining as dev effort %.",
IF(AND(P132=AS_DURATION_EFFORT,X132&lt;&gt;0),"Error: PDs should not be defined when defining as duration effort %.","")))))</f>
        <v/>
      </c>
    </row>
    <row r="133" hidden="1" outlineLevel="2" ht="7.5" customFormat="1" customHeight="1" s="294">
      <c r="A133" s="212" t="inlineStr">
        <is>
          <t>T3</t>
        </is>
      </c>
      <c r="B133" s="12" t="n"/>
      <c r="C133" s="56" t="n"/>
      <c r="D133" s="56" t="n"/>
      <c r="E133" s="56" t="n"/>
      <c r="F133" s="56" t="n"/>
      <c r="M133" s="180" t="n"/>
      <c r="T133" s="12" t="n"/>
      <c r="X133" s="12" t="n"/>
      <c r="AB133" s="7" t="n"/>
      <c r="AC133" s="7" t="n"/>
      <c r="AD133" s="7" t="n"/>
    </row>
    <row r="134" outlineLevel="1" ht="3" customFormat="1" customHeight="1" s="294">
      <c r="A134" s="212" t="inlineStr">
        <is>
          <t>S3</t>
        </is>
      </c>
      <c r="C134" s="56" t="n"/>
      <c r="D134" s="56" t="n"/>
      <c r="E134" s="56" t="n"/>
      <c r="F134" s="56" t="n"/>
      <c r="G134" s="21" t="n"/>
      <c r="H134" s="21" t="n"/>
      <c r="I134" s="21" t="n"/>
      <c r="J134" s="21" t="n"/>
      <c r="K134" s="21" t="n"/>
      <c r="L134" s="48" t="n"/>
      <c r="M134" s="189" t="n"/>
      <c r="N134" s="49" t="n"/>
      <c r="O134" s="49" t="n"/>
      <c r="P134" s="48" t="n"/>
      <c r="Q134" s="48" t="n"/>
      <c r="R134" s="48" t="n"/>
      <c r="S134" s="48" t="n"/>
      <c r="T134" s="48" t="n"/>
      <c r="U134" s="48" t="n"/>
      <c r="V134" s="48" t="n"/>
      <c r="W134" s="48" t="n"/>
      <c r="X134" s="48" t="n"/>
      <c r="Y134" s="48" t="n"/>
      <c r="Z134" s="48" t="n"/>
      <c r="AA134" s="48" t="n"/>
      <c r="AB134" s="49" t="n"/>
      <c r="AC134" s="49" t="n"/>
      <c r="AD134" s="7" t="n"/>
    </row>
    <row r="135" collapsed="1" ht="18.5" customFormat="1" customHeight="1" s="298">
      <c r="A135" s="212" t="inlineStr">
        <is>
          <t>S1</t>
        </is>
      </c>
      <c r="B135" s="9" t="n"/>
      <c r="C135" s="57" t="n"/>
      <c r="D135" s="57" t="n"/>
      <c r="E135" s="57" t="n"/>
      <c r="F135" s="56" t="n"/>
      <c r="G135" s="44" t="n"/>
      <c r="H135" s="44" t="n"/>
      <c r="I135" s="44" t="n"/>
      <c r="J135" s="44" t="n"/>
      <c r="K135" s="44" t="n"/>
      <c r="L135" s="44" t="inlineStr">
        <is>
          <t>D</t>
        </is>
      </c>
      <c r="M135" s="187" t="inlineStr">
        <is>
          <t>System Testing and Stabilization</t>
        </is>
      </c>
      <c r="N135" s="45" t="n"/>
      <c r="O135" s="46" t="n"/>
      <c r="P135" s="47" t="n"/>
      <c r="Q135" s="47" t="n"/>
      <c r="R135" s="47" t="n"/>
      <c r="S135" s="350">
        <f>CEILING(SUMIF(J136:J172, "&lt;&gt;Yes", T136:T172),1)</f>
        <v/>
      </c>
      <c r="T135" s="302" t="n"/>
      <c r="U135" s="47" t="n"/>
      <c r="V135" s="47" t="n"/>
      <c r="W135" s="47" t="n"/>
      <c r="X135" s="47" t="n"/>
      <c r="Y135" s="47" t="n"/>
      <c r="Z135" s="47" t="n"/>
      <c r="AA135" s="47" t="n"/>
      <c r="AB135" s="47" t="n"/>
      <c r="AC135" s="47" t="n"/>
      <c r="AD135" s="10" t="n"/>
    </row>
    <row r="136" hidden="1" outlineLevel="1" ht="3" customFormat="1" customHeight="1" s="294">
      <c r="A136" s="212" t="inlineStr">
        <is>
          <t>S2</t>
        </is>
      </c>
      <c r="B136" s="12" t="n"/>
      <c r="C136" s="56" t="n"/>
      <c r="D136" s="56" t="n"/>
      <c r="E136" s="56" t="n"/>
      <c r="F136" s="56" t="n"/>
      <c r="G136" s="21" t="n"/>
      <c r="H136" s="21" t="n"/>
      <c r="I136" s="21" t="n"/>
      <c r="J136" s="21" t="n"/>
      <c r="K136" s="21" t="n"/>
      <c r="L136" s="53" t="n">
        <v>0</v>
      </c>
      <c r="M136" s="188" t="n"/>
      <c r="N136" s="21" t="n"/>
      <c r="O136" s="21" t="n"/>
      <c r="P136" s="21" t="n"/>
      <c r="Q136" s="21" t="n"/>
      <c r="R136" s="21" t="n"/>
      <c r="S136" s="21" t="n"/>
      <c r="T136" s="22" t="n"/>
      <c r="U136" s="21" t="n"/>
      <c r="V136" s="21" t="n"/>
      <c r="W136" s="21" t="n"/>
      <c r="X136" s="22" t="n"/>
      <c r="Y136" s="21" t="n"/>
      <c r="Z136" s="21" t="n"/>
      <c r="AA136" s="21" t="n"/>
      <c r="AB136" s="23" t="n"/>
      <c r="AC136" s="23" t="n"/>
      <c r="AD136" s="7" t="n"/>
    </row>
    <row r="137" hidden="1" outlineLevel="1" ht="15.5" customFormat="1" customHeight="1" s="298">
      <c r="A137" s="212" t="inlineStr">
        <is>
          <t>M</t>
        </is>
      </c>
      <c r="B137" s="14" t="n"/>
      <c r="C137" s="61" t="n"/>
      <c r="D137" s="61" t="n"/>
      <c r="E137" s="61" t="n"/>
      <c r="F137" s="60" t="n"/>
      <c r="G137" s="125" t="n"/>
      <c r="H137" s="125" t="n"/>
      <c r="I137" s="125" t="n"/>
      <c r="J137" s="125" t="n"/>
      <c r="K137" s="125" t="n"/>
      <c r="L137" s="69" t="inlineStr">
        <is>
          <t>→</t>
        </is>
      </c>
      <c r="M137" s="311" t="inlineStr">
        <is>
          <t>Team Ramp up</t>
        </is>
      </c>
      <c r="N137" s="302" t="n"/>
      <c r="O137" s="64" t="n"/>
      <c r="P137" s="65" t="n"/>
      <c r="Q137" s="65" t="n"/>
      <c r="R137" s="65" t="n"/>
      <c r="S137" s="352">
        <f>SUMGROUP(ROW(), "T")</f>
        <v/>
      </c>
      <c r="T137" s="302" t="n"/>
      <c r="U137" s="309" t="n"/>
      <c r="V137" s="302" t="n"/>
      <c r="W137" s="302" t="n"/>
      <c r="X137" s="66" t="n"/>
      <c r="Y137" s="67" t="n"/>
      <c r="Z137" s="67" t="n"/>
      <c r="AA137" s="67" t="n"/>
      <c r="AB137" s="156" t="n"/>
      <c r="AC137" s="68" t="n"/>
      <c r="AD137" s="226">
        <f>IF(M137="", "Error: Module name cannot be empty.", "")</f>
        <v/>
      </c>
    </row>
    <row r="138" hidden="1" outlineLevel="1" collapsed="1" ht="15.5" customFormat="1" customHeight="1" s="298">
      <c r="A138" s="212" t="inlineStr">
        <is>
          <t>T1</t>
        </is>
      </c>
      <c r="B138" s="14" t="n"/>
      <c r="C138" s="61" t="n"/>
      <c r="D138" s="61" t="n"/>
      <c r="E138" s="61" t="n"/>
      <c r="F138" s="60" t="n"/>
      <c r="G138" s="24" t="n"/>
      <c r="H138" s="24" t="n"/>
      <c r="I138" s="24" t="n"/>
      <c r="J138" s="24" t="n"/>
      <c r="K138" s="24" t="n"/>
      <c r="L138" s="223">
        <f>LOOKUP(1000,INDIRECT("L1:"&amp;CELL("address",INDIRECT("R[-1]C",FALSE))))+1</f>
        <v/>
      </c>
      <c r="M138" s="301" t="inlineStr">
        <is>
          <t>Requirement Analysis and Planning</t>
        </is>
      </c>
      <c r="N138" s="302" t="n"/>
      <c r="O138" s="4" t="n"/>
      <c r="P138" s="25" t="n"/>
      <c r="Q138" s="25" t="n"/>
      <c r="R138" s="25" t="n"/>
      <c r="S138" s="25" t="n"/>
      <c r="T138" s="225">
        <f>IF($S$6="Exclude", SUMIFS(S139:S142, J139:J142, "&lt;&gt;Yes", G139:G142, "&lt;&gt;Yes"), SUMIFS(S139:S142, J139:J142, "&lt;&gt;Yes"))</f>
        <v/>
      </c>
      <c r="U138" s="25" t="n"/>
      <c r="V138" s="25" t="n"/>
      <c r="W138" s="25" t="n"/>
      <c r="X138" s="26" t="n"/>
      <c r="Y138" s="27" t="n"/>
      <c r="Z138" s="27" t="n"/>
      <c r="AA138" s="27" t="n"/>
      <c r="AB138" s="155" t="n"/>
      <c r="AC138" s="28" t="n"/>
      <c r="AD138" s="226">
        <f>IF(M138="", "Error: Task name cannot be empty.", "")</f>
        <v/>
      </c>
    </row>
    <row r="139" hidden="1" outlineLevel="2" ht="1.5" customFormat="1" customHeight="1" s="9">
      <c r="A139" s="212" t="inlineStr">
        <is>
          <t>T2</t>
        </is>
      </c>
      <c r="B139" s="14" t="n"/>
      <c r="C139" s="61" t="n"/>
      <c r="D139" s="61" t="n"/>
      <c r="E139" s="61" t="n"/>
      <c r="F139" s="60" t="n"/>
      <c r="G139" s="24" t="n"/>
      <c r="H139" s="24" t="n"/>
      <c r="I139" s="24" t="n"/>
      <c r="J139" s="24" t="n"/>
      <c r="K139" s="24" t="n"/>
      <c r="L139" s="227">
        <f>L138</f>
        <v/>
      </c>
      <c r="M139" s="228" t="inlineStr">
        <is>
          <t>X</t>
        </is>
      </c>
      <c r="N139" s="118" t="n"/>
      <c r="O139" s="119" t="n"/>
      <c r="P139" s="25" t="n"/>
      <c r="Q139" s="25" t="n"/>
      <c r="R139" s="25" t="n"/>
      <c r="S139" s="25" t="n"/>
      <c r="T139" s="114" t="n"/>
      <c r="U139" s="25" t="n"/>
      <c r="V139" s="25" t="n"/>
      <c r="W139" s="25" t="n"/>
      <c r="X139" s="26" t="n"/>
      <c r="Y139" s="27" t="n"/>
      <c r="Z139" s="27" t="n"/>
      <c r="AA139" s="27" t="n"/>
      <c r="AB139" s="28" t="n"/>
      <c r="AC139" s="28" t="n"/>
      <c r="AD139" s="19" t="n"/>
    </row>
    <row r="140" hidden="1" outlineLevel="2" ht="43.5" customHeight="1" s="337">
      <c r="A140" s="212" t="inlineStr">
        <is>
          <t>A</t>
        </is>
      </c>
      <c r="B140" s="14" t="n"/>
      <c r="C140" s="62" t="n"/>
      <c r="D140" s="62" t="n"/>
      <c r="E140" s="62" t="n"/>
      <c r="F140" s="63" t="n"/>
      <c r="G140" s="15" t="inlineStr">
        <is>
          <t>-</t>
        </is>
      </c>
      <c r="H140" s="15" t="inlineStr">
        <is>
          <t>-</t>
        </is>
      </c>
      <c r="I140" s="16" t="inlineStr">
        <is>
          <t>-</t>
        </is>
      </c>
      <c r="J140" s="15" t="inlineStr">
        <is>
          <t>-</t>
        </is>
      </c>
      <c r="K140" s="30" t="n"/>
      <c r="L140" s="15" t="n"/>
      <c r="M140" s="229">
        <f>IFERROR(OFFSET(M140,-1,,1,1)+0.1,OFFSET(M140,-1,-1,1,1)&amp;".1")</f>
        <v/>
      </c>
      <c r="N140" s="16" t="inlineStr">
        <is>
          <t>Requirement Study and Analysis</t>
        </is>
      </c>
      <c r="O140" s="16" t="n"/>
      <c r="P140" s="16" t="n"/>
      <c r="Q140" s="100" t="n">
        <v>1</v>
      </c>
      <c r="R140" s="95" t="n"/>
      <c r="S140" s="230">
        <f>CEILING((IF(J140="Yes", 0, IF(H140="-",AA140,AA140+AA140*VLOOKUP(H140,BUFFERS_BY_TYPE,2,FALSE)))) +
   (IF(J140="Yes", 0, IF(H140="-",AA140,AA140+AA140*VLOOKUP(H140,BUFFERS_BY_TYPE,2,FALSE))))*VLOOKUP($S$5, SALES_CALL_SCALE_ARRAY, 2,FALSE),0.25)</f>
        <v/>
      </c>
      <c r="T140" s="116" t="n"/>
      <c r="U140" s="17" t="n">
        <v>0</v>
      </c>
      <c r="V140" s="17" t="n">
        <v>1</v>
      </c>
      <c r="W140" s="17" t="n">
        <v>0</v>
      </c>
      <c r="X140" s="115" t="n">
        <v>3</v>
      </c>
      <c r="Y140" s="230">
        <f>CEILING((IF(P140=AS_DEV_EFFORT, DEV_EFFORT*Q140%,
                           IF(P140=AS_DURATION_EFFORT, (MANUAL_DURATION*5)*Q140%,
                                    (IF(Q140&lt;=1,X140,
                                          IF(SUM(U140:W140)=0,(Q140*X140),
                                               (((Q140*U140)*(X140+(X140*EXTRA_FOR_H)))+
                                               ((Q140*V140)*X140)+
                                               ((Q140*W140)*(X140-(X140*LESS_FOR_L)))
                                    )*IF(R140=0,1,R140))))))+Z140), 0.25)</f>
        <v/>
      </c>
      <c r="Z140" s="18" t="n"/>
      <c r="AA140" s="230">
        <f>Y140+Y140*VLOOKUP(I140,EXTRAS_ARRAY,2,FALSE)</f>
        <v/>
      </c>
      <c r="AB140" s="16" t="inlineStr">
        <is>
          <t>QA requirement walk-through across the 75 use cases (3 PDs).</t>
        </is>
      </c>
      <c r="AC140" s="29" t="n"/>
      <c r="AD140" s="226">
        <f>IF(J140&lt;&gt;"Yes",
IF(S140&lt;=0,"Error: Effort value is not defined or is invalid.",
IF(AND(SUM(U140:W140)&gt;0,SUM(U140:W140)&lt;&gt;1),"Error: Complexity % distribution should sum to 100%.",
IF(AND(P140=AS_DEV_EFFORT,X140&lt;&gt;0),"Error: PDs should not be defined when defining as dev effort %.",
IF(AND(P140=AS_DURATION_EFFORT,X140&lt;&gt;0),"Error: PDs should not be defined when defining as duration effort %.","")))))</f>
        <v/>
      </c>
    </row>
    <row r="141" hidden="1" outlineLevel="2" ht="43.5" customHeight="1" s="337">
      <c r="A141" s="212" t="inlineStr">
        <is>
          <t>A</t>
        </is>
      </c>
      <c r="B141" s="14" t="n"/>
      <c r="C141" s="62" t="n"/>
      <c r="D141" s="62" t="n"/>
      <c r="E141" s="62" t="n"/>
      <c r="F141" s="63" t="n"/>
      <c r="G141" s="15" t="inlineStr">
        <is>
          <t>-</t>
        </is>
      </c>
      <c r="H141" s="15" t="inlineStr">
        <is>
          <t>-</t>
        </is>
      </c>
      <c r="I141" s="16" t="inlineStr">
        <is>
          <t>-</t>
        </is>
      </c>
      <c r="J141" s="15" t="inlineStr">
        <is>
          <t>-</t>
        </is>
      </c>
      <c r="K141" s="30" t="n"/>
      <c r="L141" s="15" t="n"/>
      <c r="M141" s="229">
        <f>IFERROR(OFFSET(M141,-1,,1,1)+0.1,OFFSET(M141,-1,-1,1,1)&amp;".1")</f>
        <v/>
      </c>
      <c r="N141" s="16" t="inlineStr">
        <is>
          <t>Test Plan document
&gt;&gt; (Creation of test plan)</t>
        </is>
      </c>
      <c r="O141" s="16" t="n"/>
      <c r="P141" s="16" t="inlineStr">
        <is>
          <t>Total Use Cases</t>
        </is>
      </c>
      <c r="Q141" s="100">
        <f>Total_Use_Cases</f>
        <v/>
      </c>
      <c r="R141" s="95" t="n"/>
      <c r="S141" s="230">
        <f>CEILING((IF(J141="Yes", 0, IF(H141="-",AA141,AA141+AA141*VLOOKUP(H141,BUFFERS_BY_TYPE,2,FALSE)))) +
   (IF(J141="Yes", 0, IF(H141="-",AA141,AA141+AA141*VLOOKUP(H141,BUFFERS_BY_TYPE,2,FALSE))))*VLOOKUP($S$5, SALES_CALL_SCALE_ARRAY, 2,FALSE),0.25)</f>
        <v/>
      </c>
      <c r="T141" s="116" t="n"/>
      <c r="U141" s="17" t="n">
        <v>0</v>
      </c>
      <c r="V141" s="17" t="n">
        <v>1</v>
      </c>
      <c r="W141" s="17" t="n">
        <v>0</v>
      </c>
      <c r="X141" s="115" t="n">
        <v>0.05</v>
      </c>
      <c r="Y141" s="230">
        <f>CEILING((IF(P141=AS_DEV_EFFORT, DEV_EFFORT*Q141%,
                           IF(P141=AS_DURATION_EFFORT, (MANUAL_DURATION*5)*Q141%,
                                    (IF(Q141&lt;=1,X141,
                                          IF(SUM(U141:W141)=0,(Q141*X141),
                                               (((Q141*U141)*(X141+(X141*EXTRA_FOR_H)))+
                                               ((Q141*V141)*X141)+
                                               ((Q141*W141)*(X141-(X141*LESS_FOR_L)))
                                    )*IF(R141=0,1,R141))))))+Z141), 0.25)</f>
        <v/>
      </c>
      <c r="Z141" s="18" t="n"/>
      <c r="AA141" s="230">
        <f>Y141+Y141*VLOOKUP(I141,EXTRAS_ARRAY,2,FALSE)</f>
        <v/>
      </c>
      <c r="AB141" s="16" t="inlineStr">
        <is>
          <t>Test plan + traceability: 0.05 PD per use case (75 × 0.05 = 3.75 PDs).</t>
        </is>
      </c>
      <c r="AC141" s="29" t="n"/>
      <c r="AD141" s="226">
        <f>IF(J141&lt;&gt;"Yes",
IF(S141&lt;=0,"Error: Effort value is not defined or is invalid.",
IF(AND(SUM(U141:W141)&gt;0,SUM(U141:W141)&lt;&gt;1),"Error: Complexity % distribution should sum to 100%.",
IF(AND(P141=AS_DEV_EFFORT,X141&lt;&gt;0),"Error: PDs should not be defined when defining as dev effort %.",
IF(AND(P141=AS_DURATION_EFFORT,X141&lt;&gt;0),"Error: PDs should not be defined when defining as duration effort %.","")))))</f>
        <v/>
      </c>
    </row>
    <row r="142" hidden="1" outlineLevel="2" ht="7.5" customFormat="1" customHeight="1" s="294">
      <c r="A142" s="212" t="inlineStr">
        <is>
          <t>T3</t>
        </is>
      </c>
      <c r="B142" s="12" t="n"/>
      <c r="C142" s="56" t="n"/>
      <c r="D142" s="56" t="n"/>
      <c r="E142" s="56" t="n"/>
      <c r="F142" s="56" t="n"/>
      <c r="M142" s="180" t="n"/>
      <c r="T142" s="12" t="n"/>
      <c r="X142" s="12" t="n"/>
      <c r="AB142" s="7" t="n"/>
      <c r="AC142" s="7" t="n"/>
      <c r="AD142" s="7" t="n"/>
    </row>
    <row r="143" hidden="1" outlineLevel="1" ht="15.5" customFormat="1" customHeight="1" s="298">
      <c r="A143" s="212" t="inlineStr">
        <is>
          <t>M</t>
        </is>
      </c>
      <c r="B143" s="14" t="n"/>
      <c r="C143" s="61" t="n"/>
      <c r="D143" s="61" t="n"/>
      <c r="E143" s="61" t="n"/>
      <c r="F143" s="60" t="n"/>
      <c r="G143" s="125" t="n"/>
      <c r="H143" s="125" t="n"/>
      <c r="I143" s="125" t="n"/>
      <c r="J143" s="125" t="n"/>
      <c r="K143" s="125" t="n"/>
      <c r="L143" s="69" t="inlineStr">
        <is>
          <t>→</t>
        </is>
      </c>
      <c r="M143" s="311" t="inlineStr">
        <is>
          <t>Test Preparation</t>
        </is>
      </c>
      <c r="N143" s="302" t="n"/>
      <c r="O143" s="64" t="n"/>
      <c r="P143" s="65" t="n"/>
      <c r="Q143" s="65" t="n"/>
      <c r="R143" s="65" t="n"/>
      <c r="S143" s="352">
        <f>SUMGROUP(ROW(), "T")</f>
        <v/>
      </c>
      <c r="T143" s="302" t="n"/>
      <c r="U143" s="309" t="n"/>
      <c r="V143" s="302" t="n"/>
      <c r="W143" s="302" t="n"/>
      <c r="X143" s="66" t="n"/>
      <c r="Y143" s="67" t="n"/>
      <c r="Z143" s="67" t="n"/>
      <c r="AA143" s="67" t="n"/>
      <c r="AB143" s="156" t="n"/>
      <c r="AC143" s="68" t="n"/>
      <c r="AD143" s="226">
        <f>IF(M143="", "Error: Module name cannot be empty.", "")</f>
        <v/>
      </c>
    </row>
    <row r="144" hidden="1" outlineLevel="1" collapsed="1" ht="15.5" customFormat="1" customHeight="1" s="298">
      <c r="A144" s="212" t="inlineStr">
        <is>
          <t>T1</t>
        </is>
      </c>
      <c r="B144" s="14" t="n"/>
      <c r="C144" s="61" t="n"/>
      <c r="D144" s="61" t="n"/>
      <c r="E144" s="61" t="n"/>
      <c r="F144" s="60" t="n"/>
      <c r="G144" s="24" t="n"/>
      <c r="H144" s="24" t="n"/>
      <c r="I144" s="24" t="n"/>
      <c r="J144" s="24" t="n"/>
      <c r="K144" s="24" t="n"/>
      <c r="L144" s="223">
        <f>LOOKUP(1000,INDIRECT("L1:"&amp;CELL("address",INDIRECT("R[-1]C",FALSE))))+1</f>
        <v/>
      </c>
      <c r="M144" s="301" t="inlineStr">
        <is>
          <t>Functional test cases preparation and review</t>
        </is>
      </c>
      <c r="N144" s="302" t="n"/>
      <c r="O144" s="4" t="n"/>
      <c r="P144" s="25" t="n"/>
      <c r="Q144" s="25" t="n"/>
      <c r="R144" s="25" t="n"/>
      <c r="S144" s="25" t="n"/>
      <c r="T144" s="225">
        <f>IF($S$6="Exclude", SUMIFS(S145:S150, J145:J150, "&lt;&gt;Yes", G145:G150, "&lt;&gt;Yes"), SUMIFS(S145:S150, J145:J150, "&lt;&gt;Yes"))</f>
        <v/>
      </c>
      <c r="U144" s="25" t="n"/>
      <c r="V144" s="25" t="n"/>
      <c r="W144" s="25" t="n"/>
      <c r="X144" s="26" t="n"/>
      <c r="Y144" s="27" t="n"/>
      <c r="Z144" s="27" t="n"/>
      <c r="AA144" s="27" t="n"/>
      <c r="AB144" s="155" t="n"/>
      <c r="AC144" s="28" t="n"/>
      <c r="AD144" s="226">
        <f>IF(M144="", "Error: Task name cannot be empty.", "")</f>
        <v/>
      </c>
    </row>
    <row r="145" hidden="1" outlineLevel="2" ht="1.5" customFormat="1" customHeight="1" s="9">
      <c r="A145" s="212" t="inlineStr">
        <is>
          <t>T2</t>
        </is>
      </c>
      <c r="B145" s="14" t="n"/>
      <c r="C145" s="61" t="n"/>
      <c r="D145" s="61" t="n"/>
      <c r="E145" s="61" t="n"/>
      <c r="F145" s="60" t="n"/>
      <c r="G145" s="24" t="n"/>
      <c r="H145" s="24" t="n"/>
      <c r="I145" s="24" t="n"/>
      <c r="J145" s="24" t="n"/>
      <c r="K145" s="24" t="n"/>
      <c r="L145" s="227">
        <f>L144</f>
        <v/>
      </c>
      <c r="M145" s="228" t="inlineStr">
        <is>
          <t>X</t>
        </is>
      </c>
      <c r="N145" s="118" t="n"/>
      <c r="O145" s="119" t="n"/>
      <c r="P145" s="25" t="n"/>
      <c r="Q145" s="25" t="n"/>
      <c r="R145" s="25" t="n"/>
      <c r="S145" s="25" t="n"/>
      <c r="T145" s="114" t="n"/>
      <c r="U145" s="25" t="n"/>
      <c r="V145" s="25" t="n"/>
      <c r="W145" s="25" t="n"/>
      <c r="X145" s="26" t="n"/>
      <c r="Y145" s="27" t="n"/>
      <c r="Z145" s="27" t="n"/>
      <c r="AA145" s="27" t="n"/>
      <c r="AB145" s="28" t="n"/>
      <c r="AC145" s="28" t="n"/>
      <c r="AD145" s="19" t="n"/>
    </row>
    <row r="146" hidden="1" outlineLevel="2" ht="43.5" customHeight="1" s="337">
      <c r="A146" s="212" t="inlineStr">
        <is>
          <t>A</t>
        </is>
      </c>
      <c r="B146" s="14" t="n"/>
      <c r="C146" s="62" t="n"/>
      <c r="D146" s="62" t="n"/>
      <c r="E146" s="62" t="n"/>
      <c r="F146" s="63" t="n"/>
      <c r="G146" s="15" t="inlineStr">
        <is>
          <t>-</t>
        </is>
      </c>
      <c r="H146" s="15" t="inlineStr">
        <is>
          <t>-</t>
        </is>
      </c>
      <c r="I146" s="16" t="inlineStr">
        <is>
          <t>-</t>
        </is>
      </c>
      <c r="J146" s="15" t="inlineStr">
        <is>
          <t>-</t>
        </is>
      </c>
      <c r="K146" s="30" t="n"/>
      <c r="L146" s="15" t="n"/>
      <c r="M146" s="229">
        <f>IFERROR(OFFSET(M146,-1,,1,1)+0.1,OFFSET(M146,-1,-1,1,1)&amp;".1")</f>
        <v/>
      </c>
      <c r="N146" s="16" t="inlineStr">
        <is>
          <t>Testing strategy and planning</t>
        </is>
      </c>
      <c r="O146" s="16" t="n"/>
      <c r="P146" s="16" t="n"/>
      <c r="Q146" s="100" t="n">
        <v>1</v>
      </c>
      <c r="R146" s="95" t="n"/>
      <c r="S146" s="230">
        <f>CEILING((IF(J146="Yes", 0, IF(H146="-",AA146,AA146+AA146*VLOOKUP(H146,BUFFERS_BY_TYPE,2,FALSE)))) +
   (IF(J146="Yes", 0, IF(H146="-",AA146,AA146+AA146*VLOOKUP(H146,BUFFERS_BY_TYPE,2,FALSE))))*VLOOKUP($S$5, SALES_CALL_SCALE_ARRAY, 2,FALSE),0.25)</f>
        <v/>
      </c>
      <c r="T146" s="116" t="n"/>
      <c r="U146" s="17" t="n">
        <v>0</v>
      </c>
      <c r="V146" s="17" t="n">
        <v>1</v>
      </c>
      <c r="W146" s="17" t="n">
        <v>0</v>
      </c>
      <c r="X146" s="115" t="n">
        <v>2</v>
      </c>
      <c r="Y146" s="230">
        <f>CEILING((IF(P146=AS_DEV_EFFORT, DEV_EFFORT*Q146%,
                           IF(P146=AS_DURATION_EFFORT, (MANUAL_DURATION*5)*Q146%,
                                    (IF(Q146&lt;=1,X146,
                                          IF(SUM(U146:W146)=0,(Q146*X146),
                                               (((Q146*U146)*(X146+(X146*EXTRA_FOR_H)))+
                                               ((Q146*V146)*X146)+
                                               ((Q146*W146)*(X146-(X146*LESS_FOR_L)))
                                    )*IF(R146=0,1,R146))))))+Z146), 0.25)</f>
        <v/>
      </c>
      <c r="Z146" s="18" t="n"/>
      <c r="AA146" s="230">
        <f>Y146+Y146*VLOOKUP(I146,EXTRAS_ARRAY,2,FALSE)</f>
        <v/>
      </c>
      <c r="AB146" s="16" t="inlineStr">
        <is>
          <t>Testing strategy (unit + integration + e2e + a11y) (2 PDs).</t>
        </is>
      </c>
      <c r="AC146" s="29" t="n"/>
      <c r="AD146" s="226">
        <f>IF(J146&lt;&gt;"Yes",
IF(S146&lt;=0,"Error: Effort value is not defined or is invalid.",
IF(AND(SUM(U146:W146)&gt;0,SUM(U146:W146)&lt;&gt;1),"Error: Complexity % distribution should sum to 100%.",
IF(AND(P146=AS_DEV_EFFORT,X146&lt;&gt;0),"Error: PDs should not be defined when defining as dev effort %.",
IF(AND(P146=AS_DURATION_EFFORT,X146&lt;&gt;0),"Error: PDs should not be defined when defining as duration effort %.","")))))</f>
        <v/>
      </c>
    </row>
    <row r="147" hidden="1" outlineLevel="2" ht="87" customHeight="1" s="337">
      <c r="A147" s="212" t="inlineStr">
        <is>
          <t>A</t>
        </is>
      </c>
      <c r="B147" s="14" t="n"/>
      <c r="C147" s="62" t="n"/>
      <c r="D147" s="62" t="n"/>
      <c r="E147" s="62" t="n"/>
      <c r="F147" s="63" t="n"/>
      <c r="G147" s="15" t="inlineStr">
        <is>
          <t>-</t>
        </is>
      </c>
      <c r="H147" s="15" t="inlineStr">
        <is>
          <t>-</t>
        </is>
      </c>
      <c r="I147" s="16" t="inlineStr">
        <is>
          <t>-</t>
        </is>
      </c>
      <c r="J147" s="15" t="inlineStr">
        <is>
          <t>-</t>
        </is>
      </c>
      <c r="K147" s="30" t="inlineStr">
        <is>
          <t>&gt;&gt; Valid only in case of mannual testing
&gt;&gt; Mutually exclusive with 5.3</t>
        </is>
      </c>
      <c r="L147" s="15" t="n"/>
      <c r="M147" s="229">
        <f>IFERROR(OFFSET(M147,-1,,1,1)+0.1,OFFSET(M147,-1,-1,1,1)&amp;".1")</f>
        <v/>
      </c>
      <c r="N147" s="16" t="inlineStr">
        <is>
          <t>Test cases preparation (Manual)
&gt;&gt; For system and integration testing</t>
        </is>
      </c>
      <c r="O147" s="16" t="inlineStr">
        <is>
          <t>Name: Total Test Cases
# : Total Use case's
xN : Test case Per Use case</t>
        </is>
      </c>
      <c r="P147" s="16">
        <f>Total_Use_Cases * R147</f>
        <v/>
      </c>
      <c r="Q147" s="100">
        <f>Total_Use_Cases</f>
        <v/>
      </c>
      <c r="R147" s="95" t="n">
        <v>5</v>
      </c>
      <c r="S147" s="230">
        <f>CEILING((IF(J147="Yes", 0, IF(H147="-",AA147,AA147+AA147*VLOOKUP(H147,BUFFERS_BY_TYPE,2,FALSE)))) +
   (IF(J147="Yes", 0, IF(H147="-",AA147,AA147+AA147*VLOOKUP(H147,BUFFERS_BY_TYPE,2,FALSE))))*VLOOKUP($S$5, SALES_CALL_SCALE_ARRAY, 2,FALSE),0.25)</f>
        <v/>
      </c>
      <c r="T147" s="116" t="n"/>
      <c r="U147" s="17" t="n">
        <v>0</v>
      </c>
      <c r="V147" s="17" t="n">
        <v>1</v>
      </c>
      <c r="W147" s="17" t="n">
        <v>0</v>
      </c>
      <c r="X147" s="115" t="n">
        <v>0.05</v>
      </c>
      <c r="Y147" s="230">
        <f>CEILING((IF(P147=AS_DEV_EFFORT, DEV_EFFORT*Q147%,
                           IF(P147=AS_DURATION_EFFORT, (MANUAL_DURATION*5)*Q147%,
                                    (IF(Q147&lt;=1,X147,
                                          IF(SUM(U147:W147)=0,(Q147*X147),
                                               (((Q147*U147)*(X147+(X147*EXTRA_FOR_H)))+
                                               ((Q147*V147)*X147)+
                                               ((Q147*W147)*(X147-(X147*LESS_FOR_L)))
                                    )*IF(R147=0,1,R147))))))+Z147), 0.25)</f>
        <v/>
      </c>
      <c r="Z147" s="18" t="n"/>
      <c r="AA147" s="230">
        <f>Y147+Y147*VLOOKUP(I147,EXTRAS_ARRAY,2,FALSE)</f>
        <v/>
      </c>
      <c r="AB147" s="16" t="inlineStr">
        <is>
          <t>Manual test case prep: 0.05 PD per test case (375 TCs × 0.05 = 18.75 PDs ~ 20 TCs/day).</t>
        </is>
      </c>
      <c r="AC147" s="29" t="n"/>
      <c r="AD147" s="226">
        <f>IF(J147&lt;&gt;"Yes",
IF(S147&lt;=0,"Error: Effort value is not defined or is invalid.",
IF(AND(SUM(U147:W147)&gt;0,SUM(U147:W147)&lt;&gt;1),"Error: Complexity % distribution should sum to 100%.",
IF(AND(P147=AS_DEV_EFFORT,X147&lt;&gt;0),"Error: PDs should not be defined when defining as dev effort %.",
IF(AND(P147=AS_DURATION_EFFORT,X147&lt;&gt;0),"Error: PDs should not be defined when defining as duration effort %.","")))))</f>
        <v/>
      </c>
    </row>
    <row r="148" hidden="1" outlineLevel="2" ht="87" customHeight="1" s="337">
      <c r="A148" s="212" t="inlineStr">
        <is>
          <t>A</t>
        </is>
      </c>
      <c r="B148" s="14" t="n"/>
      <c r="C148" s="62" t="n"/>
      <c r="D148" s="62" t="n"/>
      <c r="E148" s="62" t="n"/>
      <c r="F148" s="63" t="n"/>
      <c r="G148" s="15" t="inlineStr">
        <is>
          <t>-</t>
        </is>
      </c>
      <c r="H148" s="15" t="inlineStr">
        <is>
          <t>-</t>
        </is>
      </c>
      <c r="I148" s="16" t="inlineStr">
        <is>
          <t>-</t>
        </is>
      </c>
      <c r="J148" s="15" t="inlineStr">
        <is>
          <t>-</t>
        </is>
      </c>
      <c r="K148" s="30" t="inlineStr">
        <is>
          <t>&gt;&gt; Valid only in case of automated testing
&gt;&gt; Mutually exclusive with 5.2</t>
        </is>
      </c>
      <c r="L148" s="15" t="n"/>
      <c r="M148" s="229">
        <f>IFERROR(OFFSET(M148,-1,,1,1)+0.1,OFFSET(M148,-1,-1,1,1)&amp;".1")</f>
        <v/>
      </c>
      <c r="N148" s="16" t="inlineStr">
        <is>
          <t>Test cases preparation (Automated)
&gt;&gt; Automated test scripts</t>
        </is>
      </c>
      <c r="O148" s="16" t="inlineStr">
        <is>
          <t>Name: Total Test Cases
# : Total Use case's
xN : Test case Per Use case</t>
        </is>
      </c>
      <c r="P148" s="16">
        <f>Total_Use_Cases * R148</f>
        <v/>
      </c>
      <c r="Q148" s="100">
        <f>Total_Use_Cases</f>
        <v/>
      </c>
      <c r="R148" s="95" t="n">
        <v>5</v>
      </c>
      <c r="S148" s="230">
        <f>CEILING((IF(J148="Yes", 0, IF(H148="-",AA148,AA148+AA148*VLOOKUP(H148,BUFFERS_BY_TYPE,2,FALSE)))) +
   (IF(J148="Yes", 0, IF(H148="-",AA148,AA148+AA148*VLOOKUP(H148,BUFFERS_BY_TYPE,2,FALSE))))*VLOOKUP($S$5, SALES_CALL_SCALE_ARRAY, 2,FALSE),0.25)</f>
        <v/>
      </c>
      <c r="T148" s="116" t="n"/>
      <c r="U148" s="17" t="n">
        <v>0</v>
      </c>
      <c r="V148" s="17" t="n">
        <v>1</v>
      </c>
      <c r="W148" s="17" t="n">
        <v>0</v>
      </c>
      <c r="X148" s="115" t="n">
        <v>0.08</v>
      </c>
      <c r="Y148" s="230">
        <f>CEILING((IF(P148=AS_DEV_EFFORT, DEV_EFFORT*Q148%,
                           IF(P148=AS_DURATION_EFFORT, (MANUAL_DURATION*5)*Q148%,
                                    (IF(Q148&lt;=1,X148,
                                          IF(SUM(U148:W148)=0,(Q148*X148),
                                               (((Q148*U148)*(X148+(X148*EXTRA_FOR_H)))+
                                               ((Q148*V148)*X148)+
                                               ((Q148*W148)*(X148-(X148*LESS_FOR_L)))
                                    )*IF(R148=0,1,R148))))))+Z148), 0.25)</f>
        <v/>
      </c>
      <c r="Z148" s="18" t="n"/>
      <c r="AA148" s="230">
        <f>Y148+Y148*VLOOKUP(I148,EXTRAS_ARRAY,2,FALSE)</f>
        <v/>
      </c>
      <c r="AB148" s="16" t="inlineStr">
        <is>
          <t>Automated test case prep (Vitest 4 + RTL, 201 tests in reference impl): 0.08 PD per test case (375 TCs × 0.08 = 30 PDs ~ 12 tests/day).</t>
        </is>
      </c>
      <c r="AC148" s="29" t="n"/>
      <c r="AD148" s="226">
        <f>IF(J148&lt;&gt;"Yes",
IF(S148&lt;=0,"Error: Effort value is not defined or is invalid.",
IF(AND(SUM(U148:W148)&gt;0,SUM(U148:W148)&lt;&gt;1),"Error: Complexity % distribution should sum to 100%.",
IF(AND(P148=AS_DEV_EFFORT,X148&lt;&gt;0),"Error: PDs should not be defined when defining as dev effort %.",
IF(AND(P148=AS_DURATION_EFFORT,X148&lt;&gt;0),"Error: PDs should not be defined when defining as duration effort %.","")))))</f>
        <v/>
      </c>
    </row>
    <row r="149" hidden="1" outlineLevel="2" ht="43.5" customHeight="1" s="337">
      <c r="A149" s="212" t="inlineStr">
        <is>
          <t>A</t>
        </is>
      </c>
      <c r="B149" s="14" t="n"/>
      <c r="C149" s="62" t="n"/>
      <c r="D149" s="62" t="n"/>
      <c r="E149" s="62" t="n"/>
      <c r="F149" s="63" t="n"/>
      <c r="G149" s="15" t="inlineStr">
        <is>
          <t>-</t>
        </is>
      </c>
      <c r="H149" s="15" t="inlineStr">
        <is>
          <t>-</t>
        </is>
      </c>
      <c r="I149" s="16" t="inlineStr">
        <is>
          <t>-</t>
        </is>
      </c>
      <c r="J149" s="15" t="inlineStr">
        <is>
          <t>-</t>
        </is>
      </c>
      <c r="K149" s="30" t="n"/>
      <c r="L149" s="15" t="n"/>
      <c r="M149" s="229">
        <f>IFERROR(OFFSET(M149,-1,,1,1)+0.1,OFFSET(M149,-1,-1,1,1)&amp;".1")</f>
        <v/>
      </c>
      <c r="N149" s="16" t="inlineStr">
        <is>
          <t>Review and Sign-off
&gt;&gt; Client review iterations and sign-off on test cases</t>
        </is>
      </c>
      <c r="O149" s="16" t="n"/>
      <c r="P149" s="16" t="n"/>
      <c r="Q149" s="100" t="n">
        <v>1</v>
      </c>
      <c r="R149" s="95" t="n"/>
      <c r="S149" s="230">
        <f>CEILING((IF(J149="Yes", 0, IF(H149="-",AA149,AA149+AA149*VLOOKUP(H149,BUFFERS_BY_TYPE,2,FALSE)))) +
   (IF(J149="Yes", 0, IF(H149="-",AA149,AA149+AA149*VLOOKUP(H149,BUFFERS_BY_TYPE,2,FALSE))))*VLOOKUP($S$5, SALES_CALL_SCALE_ARRAY, 2,FALSE),0.25)</f>
        <v/>
      </c>
      <c r="T149" s="116" t="n"/>
      <c r="U149" s="17" t="n">
        <v>0</v>
      </c>
      <c r="V149" s="17" t="n">
        <v>1</v>
      </c>
      <c r="W149" s="17" t="n">
        <v>0</v>
      </c>
      <c r="X149" s="115" t="n">
        <v>2</v>
      </c>
      <c r="Y149" s="230">
        <f>CEILING((IF(P149=AS_DEV_EFFORT, DEV_EFFORT*Q149%,
                           IF(P149=AS_DURATION_EFFORT, (MANUAL_DURATION*5)*Q149%,
                                    (IF(Q149&lt;=1,X149,
                                          IF(SUM(U149:W149)=0,(Q149*X149),
                                               (((Q149*U149)*(X149+(X149*EXTRA_FOR_H)))+
                                               ((Q149*V149)*X149)+
                                               ((Q149*W149)*(X149-(X149*LESS_FOR_L)))
                                    )*IF(R149=0,1,R149))))))+Z149), 0.25)</f>
        <v/>
      </c>
      <c r="Z149" s="18" t="n"/>
      <c r="AA149" s="230">
        <f>Y149+Y149*VLOOKUP(I149,EXTRAS_ARRAY,2,FALSE)</f>
        <v/>
      </c>
      <c r="AB149" s="16" t="inlineStr">
        <is>
          <t>QA review + sign-off on test artefacts (2 PDs).</t>
        </is>
      </c>
      <c r="AC149" s="29" t="n"/>
      <c r="AD149" s="226">
        <f>IF(J149&lt;&gt;"Yes",
IF(S149&lt;=0,"Error: Effort value is not defined or is invalid.",
IF(AND(SUM(U149:W149)&gt;0,SUM(U149:W149)&lt;&gt;1),"Error: Complexity % distribution should sum to 100%.",
IF(AND(P149=AS_DEV_EFFORT,X149&lt;&gt;0),"Error: PDs should not be defined when defining as dev effort %.",
IF(AND(P149=AS_DURATION_EFFORT,X149&lt;&gt;0),"Error: PDs should not be defined when defining as duration effort %.","")))))</f>
        <v/>
      </c>
    </row>
    <row r="150" hidden="1" outlineLevel="2" ht="7.5" customFormat="1" customHeight="1" s="294">
      <c r="A150" s="212" t="inlineStr">
        <is>
          <t>T3</t>
        </is>
      </c>
      <c r="B150" s="12" t="n"/>
      <c r="C150" s="56" t="n"/>
      <c r="D150" s="56" t="n"/>
      <c r="E150" s="56" t="n"/>
      <c r="F150" s="56" t="n"/>
      <c r="M150" s="180" t="n"/>
      <c r="T150" s="12" t="n"/>
      <c r="X150" s="12" t="n"/>
      <c r="AB150" s="7" t="n"/>
      <c r="AC150" s="7" t="n"/>
      <c r="AD150" s="7" t="n"/>
    </row>
    <row r="151" hidden="1" outlineLevel="1" collapsed="1" ht="15.5" customFormat="1" customHeight="1" s="298">
      <c r="A151" s="212" t="inlineStr">
        <is>
          <t>T1</t>
        </is>
      </c>
      <c r="B151" s="14" t="n"/>
      <c r="C151" s="61" t="n"/>
      <c r="D151" s="61" t="n"/>
      <c r="E151" s="61" t="n"/>
      <c r="F151" s="60" t="n"/>
      <c r="G151" s="24" t="n"/>
      <c r="H151" s="24" t="n"/>
      <c r="I151" s="24" t="n"/>
      <c r="J151" s="24" t="n"/>
      <c r="K151" s="24" t="n"/>
      <c r="L151" s="223">
        <f>LOOKUP(1000,INDIRECT("L1:"&amp;CELL("address",INDIRECT("R[-1]C",FALSE))))+1</f>
        <v/>
      </c>
      <c r="M151" s="301" t="inlineStr">
        <is>
          <t>Functional test cases execution</t>
        </is>
      </c>
      <c r="N151" s="302" t="n"/>
      <c r="O151" s="4" t="n"/>
      <c r="P151" s="25" t="n"/>
      <c r="Q151" s="25" t="n"/>
      <c r="R151" s="25" t="n"/>
      <c r="S151" s="25" t="n"/>
      <c r="T151" s="225">
        <f>IF($S$6="Exclude", SUMIFS(S152:S155, J152:J155, "&lt;&gt;Yes", G152:G155, "&lt;&gt;Yes"), SUMIFS(S152:S155, J152:J155, "&lt;&gt;Yes"))</f>
        <v/>
      </c>
      <c r="U151" s="25" t="n"/>
      <c r="V151" s="25" t="n"/>
      <c r="W151" s="25" t="n"/>
      <c r="X151" s="26" t="n"/>
      <c r="Y151" s="27" t="n"/>
      <c r="Z151" s="27" t="n"/>
      <c r="AA151" s="27" t="n"/>
      <c r="AB151" s="155" t="n"/>
      <c r="AC151" s="28" t="n"/>
      <c r="AD151" s="226">
        <f>IF(M151="", "Error: Task name cannot be empty.", "")</f>
        <v/>
      </c>
    </row>
    <row r="152" hidden="1" outlineLevel="2" ht="1.5" customFormat="1" customHeight="1" s="9">
      <c r="A152" s="212" t="inlineStr">
        <is>
          <t>T2</t>
        </is>
      </c>
      <c r="B152" s="14" t="n"/>
      <c r="C152" s="61" t="n"/>
      <c r="D152" s="61" t="n"/>
      <c r="E152" s="61" t="n"/>
      <c r="F152" s="60" t="n"/>
      <c r="G152" s="24" t="n"/>
      <c r="H152" s="24" t="n"/>
      <c r="I152" s="24" t="n"/>
      <c r="J152" s="24" t="n"/>
      <c r="K152" s="24" t="n"/>
      <c r="L152" s="227">
        <f>L151</f>
        <v/>
      </c>
      <c r="M152" s="228" t="inlineStr">
        <is>
          <t>X</t>
        </is>
      </c>
      <c r="N152" s="118" t="n"/>
      <c r="O152" s="119" t="n"/>
      <c r="P152" s="25" t="n"/>
      <c r="Q152" s="25" t="n"/>
      <c r="R152" s="25" t="n"/>
      <c r="S152" s="25" t="n"/>
      <c r="T152" s="114" t="n"/>
      <c r="U152" s="25" t="n"/>
      <c r="V152" s="25" t="n"/>
      <c r="W152" s="25" t="n"/>
      <c r="X152" s="26" t="n"/>
      <c r="Y152" s="27" t="n"/>
      <c r="Z152" s="27" t="n"/>
      <c r="AA152" s="27" t="n"/>
      <c r="AB152" s="28" t="n"/>
      <c r="AC152" s="28" t="n"/>
      <c r="AD152" s="19" t="n"/>
    </row>
    <row r="153" hidden="1" outlineLevel="2" ht="43.5" customHeight="1" s="337">
      <c r="A153" s="212" t="inlineStr">
        <is>
          <t>A</t>
        </is>
      </c>
      <c r="B153" s="14" t="n"/>
      <c r="C153" s="62" t="n"/>
      <c r="D153" s="62" t="n"/>
      <c r="E153" s="62" t="n"/>
      <c r="F153" s="63" t="n"/>
      <c r="G153" s="15" t="inlineStr">
        <is>
          <t>-</t>
        </is>
      </c>
      <c r="H153" s="15" t="inlineStr">
        <is>
          <t>-</t>
        </is>
      </c>
      <c r="I153" s="16" t="inlineStr">
        <is>
          <t>-</t>
        </is>
      </c>
      <c r="J153" s="15" t="inlineStr">
        <is>
          <t>-</t>
        </is>
      </c>
      <c r="K153" s="30" t="n"/>
      <c r="L153" s="15" t="n"/>
      <c r="M153" s="229">
        <f>IFERROR(OFFSET(M153,-1,,1,1)+0.1,OFFSET(M153,-1,-1,1,1)&amp;".1")</f>
        <v/>
      </c>
      <c r="N153" s="16" t="inlineStr">
        <is>
          <t>Testing environment setup</t>
        </is>
      </c>
      <c r="O153" s="16" t="n"/>
      <c r="P153" s="16" t="n"/>
      <c r="Q153" s="100" t="n">
        <v>1</v>
      </c>
      <c r="R153" s="95" t="n"/>
      <c r="S153" s="230">
        <f>CEILING((IF(J153="Yes", 0, IF(H153="-",AA153,AA153+AA153*VLOOKUP(H153,BUFFERS_BY_TYPE,2,FALSE)))) +
   (IF(J153="Yes", 0, IF(H153="-",AA153,AA153+AA153*VLOOKUP(H153,BUFFERS_BY_TYPE,2,FALSE))))*VLOOKUP($S$5, SALES_CALL_SCALE_ARRAY, 2,FALSE),0.25)</f>
        <v/>
      </c>
      <c r="T153" s="116" t="n"/>
      <c r="U153" s="17" t="n">
        <v>0</v>
      </c>
      <c r="V153" s="17" t="n">
        <v>1</v>
      </c>
      <c r="W153" s="17" t="n">
        <v>0</v>
      </c>
      <c r="X153" s="115" t="n">
        <v>1.5</v>
      </c>
      <c r="Y153" s="230">
        <f>CEILING((IF(P153=AS_DEV_EFFORT, DEV_EFFORT*Q153%,
                           IF(P153=AS_DURATION_EFFORT, (MANUAL_DURATION*5)*Q153%,
                                    (IF(Q153&lt;=1,X153,
                                          IF(SUM(U153:W153)=0,(Q153*X153),
                                               (((Q153*U153)*(X153+(X153*EXTRA_FOR_H)))+
                                               ((Q153*V153)*X153)+
                                               ((Q153*W153)*(X153-(X153*LESS_FOR_L)))
                                    )*IF(R153=0,1,R153))))))+Z153), 0.25)</f>
        <v/>
      </c>
      <c r="Z153" s="18" t="n"/>
      <c r="AA153" s="230">
        <f>Y153+Y153*VLOOKUP(I153,EXTRAS_ARRAY,2,FALSE)</f>
        <v/>
      </c>
      <c r="AB153" s="16" t="inlineStr">
        <is>
          <t>Test environments: Vercel preview + k8s staging (1.5 PDs).</t>
        </is>
      </c>
      <c r="AC153" s="29" t="n"/>
      <c r="AD153" s="226">
        <f>IF(J153&lt;&gt;"Yes",
IF(S153&lt;=0,"Error: Effort value is not defined or is invalid.",
IF(AND(SUM(U153:W153)&gt;0,SUM(U153:W153)&lt;&gt;1),"Error: Complexity % distribution should sum to 100%.",
IF(AND(P153=AS_DEV_EFFORT,X153&lt;&gt;0),"Error: PDs should not be defined when defining as dev effort %.",
IF(AND(P153=AS_DURATION_EFFORT,X153&lt;&gt;0),"Error: PDs should not be defined when defining as duration effort %.","")))))</f>
        <v/>
      </c>
    </row>
    <row r="154" hidden="1" outlineLevel="2" ht="43.5" customHeight="1" s="337">
      <c r="A154" s="212" t="inlineStr">
        <is>
          <t>A</t>
        </is>
      </c>
      <c r="B154" s="14" t="n"/>
      <c r="C154" s="62" t="n"/>
      <c r="D154" s="62" t="n"/>
      <c r="E154" s="62" t="n"/>
      <c r="F154" s="63" t="n"/>
      <c r="G154" s="15" t="inlineStr">
        <is>
          <t>-</t>
        </is>
      </c>
      <c r="H154" s="15" t="inlineStr">
        <is>
          <t>-</t>
        </is>
      </c>
      <c r="I154" s="16" t="inlineStr">
        <is>
          <t>-</t>
        </is>
      </c>
      <c r="J154" s="15" t="inlineStr">
        <is>
          <t>-</t>
        </is>
      </c>
      <c r="K154" s="30" t="inlineStr">
        <is>
          <t>How much percentage of test cases you are intended to execute</t>
        </is>
      </c>
      <c r="L154" s="15" t="n"/>
      <c r="M154" s="229">
        <f>IFERROR(OFFSET(M154,-1,,1,1)+0.1,OFFSET(M154,-1,-1,1,1)&amp;".1")</f>
        <v/>
      </c>
      <c r="N154" s="16" t="inlineStr">
        <is>
          <t>Test case execution
&gt;&gt; Testing, logs and reports</t>
        </is>
      </c>
      <c r="O154" s="16" t="inlineStr">
        <is>
          <t>Percentage of Test Cases</t>
        </is>
      </c>
      <c r="P154" s="179" t="n">
        <v>0.1</v>
      </c>
      <c r="Q154" s="100">
        <f>Total_Test_Cases * P154</f>
        <v/>
      </c>
      <c r="R154" s="95" t="n"/>
      <c r="S154" s="230">
        <f>CEILING((IF(J154="Yes", 0, IF(H154="-",AA154,AA154+AA154*VLOOKUP(H154,BUFFERS_BY_TYPE,2,FALSE)))) +
   (IF(J154="Yes", 0, IF(H154="-",AA154,AA154+AA154*VLOOKUP(H154,BUFFERS_BY_TYPE,2,FALSE))))*VLOOKUP($S$5, SALES_CALL_SCALE_ARRAY, 2,FALSE),0.25)</f>
        <v/>
      </c>
      <c r="T154" s="116" t="n"/>
      <c r="U154" s="17" t="n">
        <v>0</v>
      </c>
      <c r="V154" s="17" t="n">
        <v>1</v>
      </c>
      <c r="W154" s="17" t="n">
        <v>0</v>
      </c>
      <c r="X154" s="115" t="n">
        <v>0.1</v>
      </c>
      <c r="Y154" s="230">
        <f>CEILING((IF(P154=AS_DEV_EFFORT, DEV_EFFORT*Q154%,
                           IF(P154=AS_DURATION_EFFORT, (MANUAL_DURATION*5)*Q154%,
                                    (IF(Q154&lt;=1,X154,
                                          IF(SUM(U154:W154)=0,(Q154*X154),
                                               (((Q154*U154)*(X154+(X154*EXTRA_FOR_H)))+
                                               ((Q154*V154)*X154)+
                                               ((Q154*W154)*(X154-(X154*LESS_FOR_L)))
                                    )*IF(R154=0,1,R154))))))+Z154), 0.25)</f>
        <v/>
      </c>
      <c r="Z154" s="18" t="n"/>
      <c r="AA154" s="230">
        <f>Y154+Y154*VLOOKUP(I154,EXTRAS_ARRAY,2,FALSE)</f>
        <v/>
      </c>
      <c r="AB154" s="16" t="inlineStr">
        <is>
          <t>Manual exploratory + regression execution: 0.1 PD per test case for 10% of TCs (37.5 TCs × 0.1 = 3.75 PDs per cycle).</t>
        </is>
      </c>
      <c r="AC154" s="29" t="n"/>
      <c r="AD154" s="226">
        <f>IF(J154&lt;&gt;"Yes",
IF(S154&lt;=0,"Error: Effort value is not defined or is invalid.",
IF(AND(SUM(U154:W154)&gt;0,SUM(U154:W154)&lt;&gt;1),"Error: Complexity % distribution should sum to 100%.",
IF(AND(P154=AS_DEV_EFFORT,X154&lt;&gt;0),"Error: PDs should not be defined when defining as dev effort %.",
IF(AND(P154=AS_DURATION_EFFORT,X154&lt;&gt;0),"Error: PDs should not be defined when defining as duration effort %.","")))))</f>
        <v/>
      </c>
    </row>
    <row r="155" hidden="1" outlineLevel="2" ht="7.5" customFormat="1" customHeight="1" s="294">
      <c r="A155" s="212" t="inlineStr">
        <is>
          <t>T3</t>
        </is>
      </c>
      <c r="B155" s="12" t="n"/>
      <c r="C155" s="56" t="n"/>
      <c r="D155" s="56" t="n"/>
      <c r="E155" s="56" t="n"/>
      <c r="F155" s="56" t="n"/>
      <c r="M155" s="180" t="n"/>
      <c r="T155" s="12" t="n"/>
      <c r="X155" s="12" t="n"/>
      <c r="AB155" s="7" t="n"/>
      <c r="AC155" s="7" t="n"/>
      <c r="AD155" s="7" t="n"/>
    </row>
    <row r="156" hidden="1" outlineLevel="1" collapsed="1" ht="15.5" customFormat="1" customHeight="1" s="298">
      <c r="A156" s="212" t="inlineStr">
        <is>
          <t>T1</t>
        </is>
      </c>
      <c r="B156" s="14" t="n"/>
      <c r="C156" s="61" t="n"/>
      <c r="D156" s="61" t="n"/>
      <c r="E156" s="61" t="n"/>
      <c r="F156" s="60" t="n"/>
      <c r="G156" s="24" t="n"/>
      <c r="H156" s="24" t="n"/>
      <c r="I156" s="24" t="n"/>
      <c r="J156" s="24" t="n"/>
      <c r="K156" s="24" t="n"/>
      <c r="L156" s="223">
        <f>LOOKUP(1000,INDIRECT("L1:"&amp;CELL("address",INDIRECT("R[-1]C",FALSE))))+1</f>
        <v/>
      </c>
      <c r="M156" s="301" t="inlineStr">
        <is>
          <t>Performance testing</t>
        </is>
      </c>
      <c r="N156" s="302" t="n"/>
      <c r="O156" s="4" t="n"/>
      <c r="P156" s="25" t="n"/>
      <c r="Q156" s="25" t="n"/>
      <c r="R156" s="25" t="n"/>
      <c r="S156" s="25" t="n"/>
      <c r="T156" s="225">
        <f>IF($S$6="Exclude", SUMIFS(S157:S162, J157:J162, "&lt;&gt;Yes", G157:G162, "&lt;&gt;Yes"), SUMIFS(S157:S162, J157:J162, "&lt;&gt;Yes"))</f>
        <v/>
      </c>
      <c r="U156" s="25" t="n"/>
      <c r="V156" s="25" t="n"/>
      <c r="W156" s="25" t="n"/>
      <c r="X156" s="26" t="n"/>
      <c r="Y156" s="27" t="n"/>
      <c r="Z156" s="27" t="n"/>
      <c r="AA156" s="27" t="n"/>
      <c r="AB156" s="155" t="n"/>
      <c r="AC156" s="28" t="n"/>
      <c r="AD156" s="226">
        <f>IF(M156="", "Error: Task name cannot be empty.", "")</f>
        <v/>
      </c>
    </row>
    <row r="157" hidden="1" outlineLevel="2" ht="1.5" customFormat="1" customHeight="1" s="9">
      <c r="A157" s="212" t="inlineStr">
        <is>
          <t>T2</t>
        </is>
      </c>
      <c r="B157" s="14" t="n"/>
      <c r="C157" s="61" t="n"/>
      <c r="D157" s="61" t="n"/>
      <c r="E157" s="61" t="n"/>
      <c r="F157" s="60" t="n"/>
      <c r="G157" s="24" t="n"/>
      <c r="H157" s="24" t="n"/>
      <c r="I157" s="24" t="n"/>
      <c r="J157" s="24" t="n"/>
      <c r="K157" s="24" t="n"/>
      <c r="L157" s="227">
        <f>L156</f>
        <v/>
      </c>
      <c r="M157" s="228" t="inlineStr">
        <is>
          <t>X</t>
        </is>
      </c>
      <c r="N157" s="118" t="n"/>
      <c r="O157" s="119" t="n"/>
      <c r="P157" s="25" t="n"/>
      <c r="Q157" s="25" t="n"/>
      <c r="R157" s="25" t="n"/>
      <c r="S157" s="25" t="n"/>
      <c r="T157" s="114" t="n"/>
      <c r="U157" s="25" t="n"/>
      <c r="V157" s="25" t="n"/>
      <c r="W157" s="25" t="n"/>
      <c r="X157" s="26" t="n"/>
      <c r="Y157" s="27" t="n"/>
      <c r="Z157" s="27" t="n"/>
      <c r="AA157" s="27" t="n"/>
      <c r="AB157" s="28" t="n"/>
      <c r="AC157" s="28" t="n"/>
      <c r="AD157" s="19" t="n"/>
    </row>
    <row r="158" hidden="1" outlineLevel="2" ht="43.5" customHeight="1" s="337">
      <c r="A158" s="212" t="inlineStr">
        <is>
          <t>A</t>
        </is>
      </c>
      <c r="B158" s="14" t="n"/>
      <c r="C158" s="62" t="n"/>
      <c r="D158" s="62" t="n"/>
      <c r="E158" s="62" t="n"/>
      <c r="F158" s="63" t="n"/>
      <c r="G158" s="15" t="inlineStr">
        <is>
          <t>-</t>
        </is>
      </c>
      <c r="H158" s="15" t="inlineStr">
        <is>
          <t>-</t>
        </is>
      </c>
      <c r="I158" s="16" t="inlineStr">
        <is>
          <t>-</t>
        </is>
      </c>
      <c r="J158" s="15" t="inlineStr">
        <is>
          <t>-</t>
        </is>
      </c>
      <c r="K158" s="30" t="n"/>
      <c r="L158" s="15" t="n"/>
      <c r="M158" s="229">
        <f>IFERROR(OFFSET(M158,-1,,1,1)+0.1,OFFSET(M158,-1,-1,1,1)&amp;".1")</f>
        <v/>
      </c>
      <c r="N158" s="16" t="inlineStr">
        <is>
          <t>Performance testing environment setup</t>
        </is>
      </c>
      <c r="O158" s="16" t="n"/>
      <c r="P158" s="16" t="inlineStr">
        <is>
          <t>Environments</t>
        </is>
      </c>
      <c r="Q158" s="100" t="n">
        <v>2</v>
      </c>
      <c r="R158" s="95" t="n"/>
      <c r="S158" s="230">
        <f>CEILING((IF(J158="Yes", 0, IF(H158="-",AA158,AA158+AA158*VLOOKUP(H158,BUFFERS_BY_TYPE,2,FALSE)))) +
   (IF(J158="Yes", 0, IF(H158="-",AA158,AA158+AA158*VLOOKUP(H158,BUFFERS_BY_TYPE,2,FALSE))))*VLOOKUP($S$5, SALES_CALL_SCALE_ARRAY, 2,FALSE),0.25)</f>
        <v/>
      </c>
      <c r="T158" s="116" t="n"/>
      <c r="U158" s="17" t="n">
        <v>0</v>
      </c>
      <c r="V158" s="17" t="n">
        <v>1</v>
      </c>
      <c r="W158" s="17" t="n">
        <v>0</v>
      </c>
      <c r="X158" s="115" t="n">
        <v>1</v>
      </c>
      <c r="Y158" s="230">
        <f>CEILING((IF(P158=AS_DEV_EFFORT, DEV_EFFORT*Q158%,
                           IF(P158=AS_DURATION_EFFORT, (MANUAL_DURATION*5)*Q158%,
                                    (IF(Q158&lt;=1,X158,
                                          IF(SUM(U158:W158)=0,(Q158*X158),
                                               (((Q158*U158)*(X158+(X158*EXTRA_FOR_H)))+
                                               ((Q158*V158)*X158)+
                                               ((Q158*W158)*(X158-(X158*LESS_FOR_L)))
                                    )*IF(R158=0,1,R158))))))+Z158), 0.25)</f>
        <v/>
      </c>
      <c r="Z158" s="18" t="n"/>
      <c r="AA158" s="230">
        <f>Y158+Y158*VLOOKUP(I158,EXTRAS_ARRAY,2,FALSE)</f>
        <v/>
      </c>
      <c r="AB158" s="16" t="inlineStr">
        <is>
          <t>Performance test environments: Vercel preview + staging (2 PDs).</t>
        </is>
      </c>
      <c r="AC158" s="29" t="n"/>
      <c r="AD158" s="226">
        <f>IF(J158&lt;&gt;"Yes",
IF(S158&lt;=0,"Error: Effort value is not defined or is invalid.",
IF(AND(SUM(U158:W158)&gt;0,SUM(U158:W158)&lt;&gt;1),"Error: Complexity % distribution should sum to 100%.",
IF(AND(P158=AS_DEV_EFFORT,X158&lt;&gt;0),"Error: PDs should not be defined when defining as dev effort %.",
IF(AND(P158=AS_DURATION_EFFORT,X158&lt;&gt;0),"Error: PDs should not be defined when defining as duration effort %.","")))))</f>
        <v/>
      </c>
    </row>
    <row r="159" hidden="1" outlineLevel="2" ht="29" customHeight="1" s="337">
      <c r="A159" s="212" t="inlineStr">
        <is>
          <t>A</t>
        </is>
      </c>
      <c r="B159" s="14" t="n"/>
      <c r="C159" s="62" t="n"/>
      <c r="D159" s="62" t="n"/>
      <c r="E159" s="62" t="n"/>
      <c r="F159" s="63" t="n"/>
      <c r="G159" s="15" t="inlineStr">
        <is>
          <t>-</t>
        </is>
      </c>
      <c r="H159" s="15" t="inlineStr">
        <is>
          <t>-</t>
        </is>
      </c>
      <c r="I159" s="16" t="inlineStr">
        <is>
          <t>-</t>
        </is>
      </c>
      <c r="J159" s="15" t="inlineStr">
        <is>
          <t>-</t>
        </is>
      </c>
      <c r="K159" s="30" t="n"/>
      <c r="L159" s="15" t="n"/>
      <c r="M159" s="229">
        <f>IFERROR(OFFSET(M159,-1,,1,1)+0.1,OFFSET(M159,-1,-1,1,1)&amp;".1")</f>
        <v/>
      </c>
      <c r="N159" s="16" t="inlineStr">
        <is>
          <t>Scripts preparation</t>
        </is>
      </c>
      <c r="O159" s="16" t="n"/>
      <c r="P159" s="16" t="inlineStr">
        <is>
          <t>Test Cases</t>
        </is>
      </c>
      <c r="Q159" s="100">
        <f>Total_Test_Cases * 15%</f>
        <v/>
      </c>
      <c r="R159" s="95" t="n"/>
      <c r="S159" s="230">
        <f>CEILING((IF(J159="Yes", 0, IF(H159="-",AA159,AA159+AA159*VLOOKUP(H159,BUFFERS_BY_TYPE,2,FALSE)))) +
   (IF(J159="Yes", 0, IF(H159="-",AA159,AA159+AA159*VLOOKUP(H159,BUFFERS_BY_TYPE,2,FALSE))))*VLOOKUP($S$5, SALES_CALL_SCALE_ARRAY, 2,FALSE),0.25)</f>
        <v/>
      </c>
      <c r="T159" s="116" t="n"/>
      <c r="U159" s="17" t="n">
        <v>0</v>
      </c>
      <c r="V159" s="17" t="n">
        <v>1</v>
      </c>
      <c r="W159" s="17" t="n">
        <v>0</v>
      </c>
      <c r="X159" s="115">
        <f>2/8</f>
        <v/>
      </c>
      <c r="Y159" s="230">
        <f>CEILING((IF(P159=AS_DEV_EFFORT, DEV_EFFORT*Q159%,
                           IF(P159=AS_DURATION_EFFORT, (MANUAL_DURATION*5)*Q159%,
                                    (IF(Q159&lt;=1,X159,
                                          IF(SUM(U159:W159)=0,(Q159*X159),
                                               (((Q159*U159)*(X159+(X159*EXTRA_FOR_H)))+
                                               ((Q159*V159)*X159)+
                                               ((Q159*W159)*(X159-(X159*LESS_FOR_L)))
                                    )*IF(R159=0,1,R159))))))+Z159), 0.25)</f>
        <v/>
      </c>
      <c r="Z159" s="18" t="n"/>
      <c r="AA159" s="230">
        <f>Y159+Y159*VLOOKUP(I159,EXTRAS_ARRAY,2,FALSE)</f>
        <v/>
      </c>
      <c r="AB159" s="16" t="inlineStr">
        <is>
          <t>Perf scripts prep: ~0.25 PD per script (15% of 375 TCs ≈ 56 scripts × 0.25 PD ≈ 14 PDs).</t>
        </is>
      </c>
      <c r="AC159" s="29" t="n"/>
      <c r="AD159" s="226">
        <f>IF(J159&lt;&gt;"Yes",
IF(S159&lt;=0,"Error: Effort value is not defined or is invalid.",
IF(AND(SUM(U159:W159)&gt;0,SUM(U159:W159)&lt;&gt;1),"Error: Complexity % distribution should sum to 100%.",
IF(AND(P159=AS_DEV_EFFORT,X159&lt;&gt;0),"Error: PDs should not be defined when defining as dev effort %.",
IF(AND(P159=AS_DURATION_EFFORT,X159&lt;&gt;0),"Error: PDs should not be defined when defining as duration effort %.","")))))</f>
        <v/>
      </c>
    </row>
    <row r="160" hidden="1" outlineLevel="2" ht="15.5" customHeight="1" s="337">
      <c r="A160" s="212" t="inlineStr">
        <is>
          <t>A</t>
        </is>
      </c>
      <c r="B160" s="14" t="n"/>
      <c r="C160" s="62" t="n"/>
      <c r="D160" s="62" t="n"/>
      <c r="E160" s="62" t="n"/>
      <c r="F160" s="63" t="n"/>
      <c r="G160" s="15" t="inlineStr">
        <is>
          <t>-</t>
        </is>
      </c>
      <c r="H160" s="15" t="inlineStr">
        <is>
          <t>-</t>
        </is>
      </c>
      <c r="I160" s="16" t="inlineStr">
        <is>
          <t>-</t>
        </is>
      </c>
      <c r="J160" s="15" t="inlineStr">
        <is>
          <t>-</t>
        </is>
      </c>
      <c r="K160" s="30" t="n"/>
      <c r="L160" s="15" t="n"/>
      <c r="M160" s="229">
        <f>IFERROR(OFFSET(M160,-1,,1,1)+0.1,OFFSET(M160,-1,-1,1,1)&amp;".1")</f>
        <v/>
      </c>
      <c r="N160" s="16" t="inlineStr">
        <is>
          <t>Scripts execution</t>
        </is>
      </c>
      <c r="O160" s="16" t="n"/>
      <c r="P160" s="16" t="inlineStr">
        <is>
          <t>Test Cases</t>
        </is>
      </c>
      <c r="Q160" s="100">
        <f>Total_Test_Cases * 15%</f>
        <v/>
      </c>
      <c r="R160" s="95" t="n">
        <v>3</v>
      </c>
      <c r="S160" s="230">
        <f>CEILING((IF(J160="Yes", 0, IF(H160="-",AA160,AA160+AA160*VLOOKUP(H160,BUFFERS_BY_TYPE,2,FALSE)))) +
   (IF(J160="Yes", 0, IF(H160="-",AA160,AA160+AA160*VLOOKUP(H160,BUFFERS_BY_TYPE,2,FALSE))))*VLOOKUP($S$5, SALES_CALL_SCALE_ARRAY, 2,FALSE),0.25)</f>
        <v/>
      </c>
      <c r="T160" s="116" t="n"/>
      <c r="U160" s="17" t="n">
        <v>0</v>
      </c>
      <c r="V160" s="17" t="n">
        <v>1</v>
      </c>
      <c r="W160" s="17" t="n">
        <v>0</v>
      </c>
      <c r="X160" s="115">
        <f>10/60/8</f>
        <v/>
      </c>
      <c r="Y160" s="230">
        <f>CEILING((IF(P160=AS_DEV_EFFORT, DEV_EFFORT*Q160%,
                           IF(P160=AS_DURATION_EFFORT, (MANUAL_DURATION*5)*Q160%,
                                    (IF(Q160&lt;=1,X160,
                                          IF(SUM(U160:W160)=0,(Q160*X160),
                                               (((Q160*U160)*(X160+(X160*EXTRA_FOR_H)))+
                                               ((Q160*V160)*X160)+
                                               ((Q160*W160)*(X160-(X160*LESS_FOR_L)))
                                    )*IF(R160=0,1,R160))))))+Z160), 0.25)</f>
        <v/>
      </c>
      <c r="Z160" s="18" t="n"/>
      <c r="AA160" s="230">
        <f>Y160+Y160*VLOOKUP(I160,EXTRAS_ARRAY,2,FALSE)</f>
        <v/>
      </c>
      <c r="AB160" s="16" t="inlineStr">
        <is>
          <t>Perf execution: ~0.02 PD per run × 56 scripts ≈ 1.2 PDs.</t>
        </is>
      </c>
      <c r="AC160" s="29" t="n"/>
      <c r="AD160" s="226">
        <f>IF(J160&lt;&gt;"Yes",
IF(S160&lt;=0,"Error: Effort value is not defined or is invalid.",
IF(AND(SUM(U160:W160)&gt;0,SUM(U160:W160)&lt;&gt;1),"Error: Complexity % distribution should sum to 100%.",
IF(AND(P160=AS_DEV_EFFORT,X160&lt;&gt;0),"Error: PDs should not be defined when defining as dev effort %.",
IF(AND(P160=AS_DURATION_EFFORT,X160&lt;&gt;0),"Error: PDs should not be defined when defining as duration effort %.","")))))</f>
        <v/>
      </c>
    </row>
    <row r="161" hidden="1" outlineLevel="2" ht="43.5" customHeight="1" s="337">
      <c r="A161" s="212" t="inlineStr">
        <is>
          <t>A</t>
        </is>
      </c>
      <c r="B161" s="14" t="n"/>
      <c r="C161" s="62" t="n"/>
      <c r="D161" s="62" t="n"/>
      <c r="E161" s="62" t="n"/>
      <c r="F161" s="63" t="n"/>
      <c r="G161" s="15" t="inlineStr">
        <is>
          <t>-</t>
        </is>
      </c>
      <c r="H161" s="15" t="inlineStr">
        <is>
          <t>-</t>
        </is>
      </c>
      <c r="I161" s="16" t="inlineStr">
        <is>
          <t>-</t>
        </is>
      </c>
      <c r="J161" s="15" t="inlineStr">
        <is>
          <t>-</t>
        </is>
      </c>
      <c r="K161" s="30" t="n"/>
      <c r="L161" s="15" t="n"/>
      <c r="M161" s="229">
        <f>IFERROR(OFFSET(M161,-1,,1,1)+0.1,OFFSET(M161,-1,-1,1,1)&amp;".1")</f>
        <v/>
      </c>
      <c r="N161" s="16" t="inlineStr">
        <is>
          <t>Reports preparation</t>
        </is>
      </c>
      <c r="O161" s="16" t="n"/>
      <c r="P161" s="16" t="n"/>
      <c r="Q161" s="100" t="n">
        <v>1</v>
      </c>
      <c r="R161" s="95" t="n"/>
      <c r="S161" s="230">
        <f>CEILING((IF(J161="Yes", 0, IF(H161="-",AA161,AA161+AA161*VLOOKUP(H161,BUFFERS_BY_TYPE,2,FALSE)))) +
   (IF(J161="Yes", 0, IF(H161="-",AA161,AA161+AA161*VLOOKUP(H161,BUFFERS_BY_TYPE,2,FALSE))))*VLOOKUP($S$5, SALES_CALL_SCALE_ARRAY, 2,FALSE),0.25)</f>
        <v/>
      </c>
      <c r="T161" s="116" t="n"/>
      <c r="U161" s="17" t="n">
        <v>0</v>
      </c>
      <c r="V161" s="17" t="n">
        <v>1</v>
      </c>
      <c r="W161" s="17" t="n">
        <v>0</v>
      </c>
      <c r="X161" s="115" t="n">
        <v>2</v>
      </c>
      <c r="Y161" s="230">
        <f>CEILING((IF(P161=AS_DEV_EFFORT, DEV_EFFORT*Q161%,
                           IF(P161=AS_DURATION_EFFORT, (MANUAL_DURATION*5)*Q161%,
                                    (IF(Q161&lt;=1,X161,
                                          IF(SUM(U161:W161)=0,(Q161*X161),
                                               (((Q161*U161)*(X161+(X161*EXTRA_FOR_H)))+
                                               ((Q161*V161)*X161)+
                                               ((Q161*W161)*(X161-(X161*LESS_FOR_L)))
                                    )*IF(R161=0,1,R161))))))+Z161), 0.25)</f>
        <v/>
      </c>
      <c r="Z161" s="18" t="n"/>
      <c r="AA161" s="230">
        <f>Y161+Y161*VLOOKUP(I161,EXTRAS_ARRAY,2,FALSE)</f>
        <v/>
      </c>
      <c r="AB161" s="16" t="inlineStr">
        <is>
          <t>Perf report: percentiles, Core Web Vitals, error budget (2 PDs).</t>
        </is>
      </c>
      <c r="AC161" s="29" t="n"/>
      <c r="AD161" s="226">
        <f>IF(J161&lt;&gt;"Yes",
IF(S161&lt;=0,"Error: Effort value is not defined or is invalid.",
IF(AND(SUM(U161:W161)&gt;0,SUM(U161:W161)&lt;&gt;1),"Error: Complexity % distribution should sum to 100%.",
IF(AND(P161=AS_DEV_EFFORT,X161&lt;&gt;0),"Error: PDs should not be defined when defining as dev effort %.",
IF(AND(P161=AS_DURATION_EFFORT,X161&lt;&gt;0),"Error: PDs should not be defined when defining as duration effort %.","")))))</f>
        <v/>
      </c>
    </row>
    <row r="162" hidden="1" outlineLevel="2" ht="7.5" customFormat="1" customHeight="1" s="294">
      <c r="A162" s="212" t="inlineStr">
        <is>
          <t>T3</t>
        </is>
      </c>
      <c r="B162" s="12" t="n"/>
      <c r="C162" s="56" t="n"/>
      <c r="D162" s="56" t="n"/>
      <c r="E162" s="56" t="n"/>
      <c r="F162" s="56" t="n"/>
      <c r="M162" s="180" t="n"/>
      <c r="T162" s="12" t="n"/>
      <c r="X162" s="12" t="n"/>
      <c r="AB162" s="7" t="n"/>
      <c r="AC162" s="7" t="n"/>
      <c r="AD162" s="7" t="n"/>
    </row>
    <row r="163" hidden="1" outlineLevel="1" collapsed="1" ht="15.5" customFormat="1" customHeight="1" s="298">
      <c r="A163" s="212" t="inlineStr">
        <is>
          <t>T1</t>
        </is>
      </c>
      <c r="B163" s="14" t="n"/>
      <c r="C163" s="61" t="n"/>
      <c r="D163" s="61" t="n"/>
      <c r="E163" s="61" t="n"/>
      <c r="F163" s="60" t="n"/>
      <c r="G163" s="24" t="n"/>
      <c r="H163" s="24" t="n"/>
      <c r="I163" s="24" t="n"/>
      <c r="J163" s="24" t="n"/>
      <c r="K163" s="24" t="n"/>
      <c r="L163" s="223">
        <f>LOOKUP(1000,INDIRECT("L1:"&amp;CELL("address",INDIRECT("R[-1]C",FALSE))))+1</f>
        <v/>
      </c>
      <c r="M163" s="301" t="inlineStr">
        <is>
          <t>Other Testing</t>
        </is>
      </c>
      <c r="N163" s="302" t="n"/>
      <c r="O163" s="4" t="n"/>
      <c r="P163" s="25" t="n"/>
      <c r="Q163" s="25" t="n"/>
      <c r="R163" s="25" t="n"/>
      <c r="S163" s="25" t="n"/>
      <c r="T163" s="225">
        <f>IF($S$6="Exclude", SUMIFS(S164:S171, J164:J171, "&lt;&gt;Yes", G164:G171, "&lt;&gt;Yes"), SUMIFS(S164:S171, J164:J171, "&lt;&gt;Yes"))</f>
        <v/>
      </c>
      <c r="U163" s="25" t="n"/>
      <c r="V163" s="25" t="n"/>
      <c r="W163" s="25" t="n"/>
      <c r="X163" s="26" t="n"/>
      <c r="Y163" s="27" t="n"/>
      <c r="Z163" s="27" t="n"/>
      <c r="AA163" s="27" t="n"/>
      <c r="AB163" s="155" t="n"/>
      <c r="AC163" s="28" t="n"/>
      <c r="AD163" s="226">
        <f>IF(M163="", "Error: Task name cannot be empty.", "")</f>
        <v/>
      </c>
    </row>
    <row r="164" hidden="1" outlineLevel="2" ht="1.5" customFormat="1" customHeight="1" s="9">
      <c r="A164" s="212" t="inlineStr">
        <is>
          <t>T2</t>
        </is>
      </c>
      <c r="B164" s="14" t="n"/>
      <c r="C164" s="61" t="n"/>
      <c r="D164" s="61" t="n"/>
      <c r="E164" s="61" t="n"/>
      <c r="F164" s="60" t="n"/>
      <c r="G164" s="24" t="n"/>
      <c r="H164" s="24" t="n"/>
      <c r="I164" s="24" t="n"/>
      <c r="J164" s="24" t="n"/>
      <c r="K164" s="24" t="n"/>
      <c r="L164" s="227">
        <f>L163</f>
        <v/>
      </c>
      <c r="M164" s="228" t="inlineStr">
        <is>
          <t>X</t>
        </is>
      </c>
      <c r="N164" s="118" t="n"/>
      <c r="O164" s="119" t="n"/>
      <c r="P164" s="25" t="n"/>
      <c r="Q164" s="25" t="n"/>
      <c r="R164" s="25" t="n"/>
      <c r="S164" s="25" t="n"/>
      <c r="T164" s="114" t="n"/>
      <c r="U164" s="25" t="n"/>
      <c r="V164" s="25" t="n"/>
      <c r="W164" s="25" t="n"/>
      <c r="X164" s="26" t="n"/>
      <c r="Y164" s="27" t="n"/>
      <c r="Z164" s="27" t="n"/>
      <c r="AA164" s="27" t="n"/>
      <c r="AB164" s="28" t="n"/>
      <c r="AC164" s="28" t="n"/>
      <c r="AD164" s="19" t="n"/>
    </row>
    <row r="165" hidden="1" outlineLevel="2" ht="43.5" customHeight="1" s="337">
      <c r="A165" s="212" t="inlineStr">
        <is>
          <t>A</t>
        </is>
      </c>
      <c r="B165" s="14" t="n"/>
      <c r="C165" s="62" t="n"/>
      <c r="D165" s="62" t="n"/>
      <c r="E165" s="62" t="n"/>
      <c r="F165" s="63" t="n"/>
      <c r="G165" s="15" t="inlineStr">
        <is>
          <t>-</t>
        </is>
      </c>
      <c r="H165" s="15" t="inlineStr">
        <is>
          <t>-</t>
        </is>
      </c>
      <c r="I165" s="16" t="inlineStr">
        <is>
          <t>-</t>
        </is>
      </c>
      <c r="J165" s="15" t="inlineStr">
        <is>
          <t>-</t>
        </is>
      </c>
      <c r="K165" s="30" t="n"/>
      <c r="L165" s="15" t="n"/>
      <c r="M165" s="229">
        <f>IFERROR(OFFSET(M165,-1,,1,1)+0.1,OFFSET(M165,-1,-1,1,1)&amp;".1")</f>
        <v/>
      </c>
      <c r="N165" s="16" t="inlineStr">
        <is>
          <t>Multi-lingual testing</t>
        </is>
      </c>
      <c r="O165" s="16" t="n"/>
      <c r="P165" s="16" t="inlineStr">
        <is>
          <t>Languages
Screens</t>
        </is>
      </c>
      <c r="Q165" s="100" t="n"/>
      <c r="R165" s="95">
        <f>Total_Screens</f>
        <v/>
      </c>
      <c r="S165" s="230">
        <f>CEILING((IF(J165="Yes", 0, IF(H165="-",AA165,AA165+AA165*VLOOKUP(H165,BUFFERS_BY_TYPE,2,FALSE)))) +
   (IF(J165="Yes", 0, IF(H165="-",AA165,AA165+AA165*VLOOKUP(H165,BUFFERS_BY_TYPE,2,FALSE))))*VLOOKUP($S$5, SALES_CALL_SCALE_ARRAY, 2,FALSE),0.25)</f>
        <v/>
      </c>
      <c r="T165" s="116" t="n"/>
      <c r="U165" s="17" t="n">
        <v>0</v>
      </c>
      <c r="V165" s="17" t="n">
        <v>1</v>
      </c>
      <c r="W165" s="17" t="n">
        <v>0</v>
      </c>
      <c r="X165" s="115" t="n">
        <v>0.25</v>
      </c>
      <c r="Y165" s="230">
        <f>CEILING((IF(P165=AS_DEV_EFFORT, DEV_EFFORT*Q165%,
                           IF(P165=AS_DURATION_EFFORT, (MANUAL_DURATION*5)*Q165%,
                                    (IF(Q165&lt;=1,X165,
                                          IF(SUM(U165:W165)=0,(Q165*X165),
                                               (((Q165*U165)*(X165+(X165*EXTRA_FOR_H)))+
                                               ((Q165*V165)*X165)+
                                               ((Q165*W165)*(X165-(X165*LESS_FOR_L)))
                                    )*IF(R165=0,1,R165))))))+Z165), 0.25)</f>
        <v/>
      </c>
      <c r="Z165" s="18" t="n"/>
      <c r="AA165" s="230">
        <f>Y165+Y165*VLOOKUP(I165,EXTRAS_ARRAY,2,FALSE)</f>
        <v/>
      </c>
      <c r="AB165" s="16" t="inlineStr">
        <is>
          <t>i18n smoke (English only in MVP): 0.25 PD per screen × 14 = 3.5 PDs.</t>
        </is>
      </c>
      <c r="AC165" s="29" t="n"/>
      <c r="AD165" s="226">
        <f>IF(J165&lt;&gt;"Yes",
IF(S165&lt;=0,"Error: Effort value is not defined or is invalid.",
IF(AND(SUM(U165:W165)&gt;0,SUM(U165:W165)&lt;&gt;1),"Error: Complexity % distribution should sum to 100%.",
IF(AND(P165=AS_DEV_EFFORT,X165&lt;&gt;0),"Error: PDs should not be defined when defining as dev effort %.",
IF(AND(P165=AS_DURATION_EFFORT,X165&lt;&gt;0),"Error: PDs should not be defined when defining as duration effort %.","")))))</f>
        <v/>
      </c>
    </row>
    <row r="166" hidden="1" outlineLevel="2" ht="43.5" customHeight="1" s="337">
      <c r="A166" s="212" t="inlineStr">
        <is>
          <t>A</t>
        </is>
      </c>
      <c r="B166" s="14" t="n"/>
      <c r="C166" s="62" t="n"/>
      <c r="D166" s="62" t="n"/>
      <c r="E166" s="62" t="n"/>
      <c r="F166" s="63" t="n"/>
      <c r="G166" s="15" t="inlineStr">
        <is>
          <t>-</t>
        </is>
      </c>
      <c r="H166" s="15" t="inlineStr">
        <is>
          <t>-</t>
        </is>
      </c>
      <c r="I166" s="16" t="inlineStr">
        <is>
          <t>-</t>
        </is>
      </c>
      <c r="J166" s="15" t="inlineStr">
        <is>
          <t>Yes</t>
        </is>
      </c>
      <c r="K166" s="30" t="n"/>
      <c r="L166" s="15" t="n"/>
      <c r="M166" s="229">
        <f>IFERROR(OFFSET(M166,-1,,1,1)+0.1,OFFSET(M166,-1,-1,1,1)&amp;".1")</f>
        <v/>
      </c>
      <c r="N166" s="16" t="inlineStr">
        <is>
          <t>Data migration testing</t>
        </is>
      </c>
      <c r="O166" s="16" t="n"/>
      <c r="P166" s="16" t="n"/>
      <c r="Q166" s="100" t="n"/>
      <c r="R166" s="95" t="n"/>
      <c r="S166" s="230">
        <f>CEILING((IF(J166="Yes", 0, IF(H166="-",AA166,AA166+AA166*VLOOKUP(H166,BUFFERS_BY_TYPE,2,FALSE)))) +
(IF(J166="Yes", 0, IF(H166="-",AA166,AA166+AA166*VLOOKUP(H166,BUFFERS_BY_TYPE,2,FALSE))))*VLOOKUP($S$5, SALES_CALL_SCALE_ARRAY, 2,FALSE),0.25)</f>
        <v/>
      </c>
      <c r="T166" s="116" t="n"/>
      <c r="U166" s="17" t="n">
        <v>0</v>
      </c>
      <c r="V166" s="17" t="n">
        <v>1</v>
      </c>
      <c r="W166" s="17" t="n">
        <v>0</v>
      </c>
      <c r="X166" s="115" t="n"/>
      <c r="Y166" s="230">
        <f>CEILING((IF(P166=AS_DEV_EFFORT, DEV_EFFORT*Q166%,
IF(P166=AS_DURATION_EFFORT, (MANUAL_DURATION*5)*Q166%,
(IF(Q166&lt;=1,X166,
IF(SUM(U166:W166)=0,(Q166*X166),
(((Q166*U166)*(X166+(X166*EXTRA_FOR_H)))+
((Q166*V166)*X166)+
((Q166*W166)*(X166-(X166*LESS_FOR_L)))
)*IF(R166=0,1,R166))))))+Z166), 0.25)</f>
        <v/>
      </c>
      <c r="Z166" s="18" t="n"/>
      <c r="AA166" s="230">
        <f>Y166+Y166*VLOOKUP(I166,EXTRAS_ARRAY,2,FALSE)</f>
        <v/>
      </c>
      <c r="AB166" s="16" t="inlineStr">
        <is>
          <t>Excluded: no data migration in MVP (see rows 121/122).</t>
        </is>
      </c>
      <c r="AC166" s="29" t="n"/>
      <c r="AD166" s="226">
        <f>IF(J166&lt;&gt;"Yes",
IF(S166&lt;=0,"Error: Effort value is not defined or is invalid.",
IF(AND(SUM(U166:W166)&gt;0,SUM(U166:W166)&lt;&gt;1),"Error: Complexity % distribution should sum to 100%.",
IF(AND(P166=AS_DEV_EFFORT,X166&lt;&gt;0),"Error: PDs should not be defined when defining as dev effort %.",
IF(AND(P166=AS_DURATION_EFFORT,X166&lt;&gt;0),"Error: PDs should not be defined when defining as duration effort %.","")))))</f>
        <v/>
      </c>
    </row>
    <row r="167" hidden="1" outlineLevel="2" ht="43.5" customHeight="1" s="337">
      <c r="A167" s="212" t="inlineStr">
        <is>
          <t>A</t>
        </is>
      </c>
      <c r="B167" s="14" t="n"/>
      <c r="C167" s="62" t="n"/>
      <c r="D167" s="62" t="n"/>
      <c r="E167" s="62" t="n"/>
      <c r="F167" s="63" t="n"/>
      <c r="G167" s="15" t="inlineStr">
        <is>
          <t>-</t>
        </is>
      </c>
      <c r="H167" s="15" t="inlineStr">
        <is>
          <t>-</t>
        </is>
      </c>
      <c r="I167" s="16" t="inlineStr">
        <is>
          <t>-</t>
        </is>
      </c>
      <c r="J167" s="15" t="inlineStr">
        <is>
          <t>-</t>
        </is>
      </c>
      <c r="K167" s="30" t="n"/>
      <c r="L167" s="15" t="n"/>
      <c r="M167" s="229">
        <f>IFERROR(OFFSET(M167,-1,,1,1)+0.1,OFFSET(M167,-1,-1,1,1)&amp;".1")</f>
        <v/>
      </c>
      <c r="N167" s="16" t="inlineStr">
        <is>
          <t>Multi-browser testing</t>
        </is>
      </c>
      <c r="O167" s="16" t="n"/>
      <c r="P167" s="16" t="inlineStr">
        <is>
          <t>Browsers
Screens</t>
        </is>
      </c>
      <c r="Q167" s="100" t="n"/>
      <c r="R167" s="95">
        <f>Total_Screens</f>
        <v/>
      </c>
      <c r="S167" s="230">
        <f>CEILING((IF(J167="Yes", 0, IF(H167="-",AA167,AA167+AA167*VLOOKUP(H167,BUFFERS_BY_TYPE,2,FALSE)))) +
(IF(J167="Yes", 0, IF(H167="-",AA167,AA167+AA167*VLOOKUP(H167,BUFFERS_BY_TYPE,2,FALSE))))*VLOOKUP($S$5, SALES_CALL_SCALE_ARRAY, 2,FALSE),0.25)</f>
        <v/>
      </c>
      <c r="T167" s="116" t="n"/>
      <c r="U167" s="17" t="n">
        <v>0</v>
      </c>
      <c r="V167" s="17" t="n">
        <v>1</v>
      </c>
      <c r="W167" s="17" t="n">
        <v>0</v>
      </c>
      <c r="X167" s="115" t="n">
        <v>0.3</v>
      </c>
      <c r="Y167" s="230">
        <f>CEILING((IF(P167=AS_DEV_EFFORT, DEV_EFFORT*Q167%,
IF(P167=AS_DURATION_EFFORT, (MANUAL_DURATION*5)*Q167%,
(IF(Q167&lt;=1,X167,
IF(SUM(U167:W167)=0,(Q167*X167),
(((Q167*U167)*(X167+(X167*EXTRA_FOR_H)))+
((Q167*V167)*X167)+
((Q167*W167)*(X167-(X167*LESS_FOR_L)))
)*IF(R167=0,1,R167))))))+Z167), 0.25)</f>
        <v/>
      </c>
      <c r="Z167" s="18" t="n"/>
      <c r="AA167" s="230">
        <f>Y167+Y167*VLOOKUP(I167,EXTRAS_ARRAY,2,FALSE)</f>
        <v/>
      </c>
      <c r="AB167" s="16" t="inlineStr">
        <is>
          <t>Multi-browser (Chrome, Safari, Firefox, Edge × last 2 versions): 0.3 PD × 14 screens = 4.2 PDs.</t>
        </is>
      </c>
      <c r="AC167" s="29" t="n"/>
      <c r="AD167" s="226">
        <f>IF(J167&lt;&gt;"Yes",
IF(S167&lt;=0,"Error: Effort value is not defined or is invalid.",
IF(AND(SUM(U167:W167)&gt;0,SUM(U167:W167)&lt;&gt;1),"Error: Complexity % distribution should sum to 100%.",
IF(AND(P167=AS_DEV_EFFORT,X167&lt;&gt;0),"Error: PDs should not be defined when defining as dev effort %.",
IF(AND(P167=AS_DURATION_EFFORT,X167&lt;&gt;0),"Error: PDs should not be defined when defining as duration effort %.","")))))</f>
        <v/>
      </c>
    </row>
    <row r="168" hidden="1" outlineLevel="2" ht="43.5" customHeight="1" s="337">
      <c r="A168" s="212" t="inlineStr">
        <is>
          <t>A</t>
        </is>
      </c>
      <c r="B168" s="14" t="n"/>
      <c r="C168" s="62" t="n"/>
      <c r="D168" s="62" t="n"/>
      <c r="E168" s="62" t="n"/>
      <c r="F168" s="63" t="n"/>
      <c r="G168" s="15" t="inlineStr">
        <is>
          <t>-</t>
        </is>
      </c>
      <c r="H168" s="15" t="inlineStr">
        <is>
          <t>-</t>
        </is>
      </c>
      <c r="I168" s="16" t="inlineStr">
        <is>
          <t>-</t>
        </is>
      </c>
      <c r="J168" s="15" t="inlineStr">
        <is>
          <t>-</t>
        </is>
      </c>
      <c r="K168" s="30" t="n"/>
      <c r="L168" s="15" t="n"/>
      <c r="M168" s="229">
        <f>IFERROR(OFFSET(M168,-1,,1,1)+0.1,OFFSET(M168,-1,-1,1,1)&amp;".1")</f>
        <v/>
      </c>
      <c r="N168" s="16" t="inlineStr">
        <is>
          <t>Multi-device testing</t>
        </is>
      </c>
      <c r="O168" s="16" t="n"/>
      <c r="P168" s="16" t="inlineStr">
        <is>
          <t>Devices
Screens</t>
        </is>
      </c>
      <c r="Q168" s="100" t="n"/>
      <c r="R168" s="95">
        <f>Total_Screens</f>
        <v/>
      </c>
      <c r="S168" s="230">
        <f>CEILING((IF(J168="Yes", 0, IF(H168="-",AA168,AA168+AA168*VLOOKUP(H168,BUFFERS_BY_TYPE,2,FALSE)))) +
(IF(J168="Yes", 0, IF(H168="-",AA168,AA168+AA168*VLOOKUP(H168,BUFFERS_BY_TYPE,2,FALSE))))*VLOOKUP($S$5, SALES_CALL_SCALE_ARRAY, 2,FALSE),0.25)</f>
        <v/>
      </c>
      <c r="T168" s="116" t="n"/>
      <c r="U168" s="17" t="n">
        <v>0</v>
      </c>
      <c r="V168" s="17" t="n">
        <v>1</v>
      </c>
      <c r="W168" s="17" t="n">
        <v>0</v>
      </c>
      <c r="X168" s="115" t="n">
        <v>0.3</v>
      </c>
      <c r="Y168" s="230">
        <f>CEILING((IF(P168=AS_DEV_EFFORT, DEV_EFFORT*Q168%,
IF(P168=AS_DURATION_EFFORT, (MANUAL_DURATION*5)*Q168%,
(IF(Q168&lt;=1,X168,
IF(SUM(U168:W168)=0,(Q168*X168),
(((Q168*U168)*(X168+(X168*EXTRA_FOR_H)))+
((Q168*V168)*X168)+
((Q168*W168)*(X168-(X168*LESS_FOR_L)))
)*IF(R168=0,1,R168))))))+Z168), 0.25)</f>
        <v/>
      </c>
      <c r="Z168" s="18" t="n"/>
      <c r="AA168" s="230">
        <f>Y168+Y168*VLOOKUP(I168,EXTRAS_ARRAY,2,FALSE)</f>
        <v/>
      </c>
      <c r="AB168" s="16" t="inlineStr">
        <is>
          <t>Multi-device (Desktop, iOS Safari, Android Chrome × last 2 OS): 0.3 PD × 14 screens = 4.2 PDs.</t>
        </is>
      </c>
      <c r="AC168" s="29" t="n"/>
      <c r="AD168" s="226">
        <f>IF(J168&lt;&gt;"Yes",
IF(S168&lt;=0,"Error: Effort value is not defined or is invalid.",
IF(AND(SUM(U168:W168)&gt;0,SUM(U168:W168)&lt;&gt;1),"Error: Complexity % distribution should sum to 100%.",
IF(AND(P168=AS_DEV_EFFORT,X168&lt;&gt;0),"Error: PDs should not be defined when defining as dev effort %.",
IF(AND(P168=AS_DURATION_EFFORT,X168&lt;&gt;0),"Error: PDs should not be defined when defining as duration effort %.","")))))</f>
        <v/>
      </c>
    </row>
    <row r="169" hidden="1" outlineLevel="2" ht="43.5" customHeight="1" s="337">
      <c r="A169" s="212" t="inlineStr">
        <is>
          <t>A</t>
        </is>
      </c>
      <c r="B169" s="14" t="n"/>
      <c r="C169" s="62" t="n"/>
      <c r="D169" s="62" t="n"/>
      <c r="E169" s="62" t="n"/>
      <c r="F169" s="63" t="n"/>
      <c r="G169" s="15" t="inlineStr">
        <is>
          <t>Yes</t>
        </is>
      </c>
      <c r="H169" s="15" t="inlineStr">
        <is>
          <t>-</t>
        </is>
      </c>
      <c r="I169" s="16" t="inlineStr">
        <is>
          <t>-</t>
        </is>
      </c>
      <c r="J169" s="15" t="inlineStr">
        <is>
          <t>-</t>
        </is>
      </c>
      <c r="K169" s="30" t="n"/>
      <c r="L169" s="15" t="n"/>
      <c r="M169" s="229">
        <f>IFERROR(OFFSET(M169,-1,,1,1)+0.1,OFFSET(M169,-1,-1,1,1)&amp;".1")</f>
        <v/>
      </c>
      <c r="N169" s="16" t="inlineStr">
        <is>
          <t xml:space="preserve">Accessibility Testing </t>
        </is>
      </c>
      <c r="O169" s="16" t="n"/>
      <c r="P169" s="16" t="inlineStr">
        <is>
          <t>Screens</t>
        </is>
      </c>
      <c r="Q169" s="100" t="n">
        <v>14</v>
      </c>
      <c r="R169" s="95" t="n"/>
      <c r="S169" s="230">
        <f>CEILING((IF(J169="Yes", 0, IF(H169="-",AA169,AA169+AA169*VLOOKUP(H169,BUFFERS_BY_TYPE,2,FALSE)))) +
(IF(J169="Yes", 0, IF(H169="-",AA169,AA169+AA169*VLOOKUP(H169,BUFFERS_BY_TYPE,2,FALSE))))*VLOOKUP($S$5, SALES_CALL_SCALE_ARRAY, 2,FALSE),0.25)</f>
        <v/>
      </c>
      <c r="T169" s="116" t="n"/>
      <c r="U169" s="17" t="n">
        <v>0</v>
      </c>
      <c r="V169" s="17" t="n">
        <v>1</v>
      </c>
      <c r="W169" s="17" t="n">
        <v>0</v>
      </c>
      <c r="X169" s="115" t="n">
        <v>0.5</v>
      </c>
      <c r="Y169" s="230">
        <f>CEILING((IF(P169=AS_DEV_EFFORT, DEV_EFFORT*Q169%,
IF(P169=AS_DURATION_EFFORT, (MANUAL_DURATION*5)*Q169%,
(IF(Q169&lt;=1,X169,
IF(SUM(U169:W169)=0,(Q169*X169),
(((Q169*U169)*(X169+(X169*EXTRA_FOR_H)))+
((Q169*V169)*X169)+
((Q169*W169)*(X169-(X169*LESS_FOR_L)))
)*IF(R169=0,1,R169))))))+Z169), 0.25)</f>
        <v/>
      </c>
      <c r="Z169" s="18" t="n"/>
      <c r="AA169" s="230">
        <f>Y169+Y169*VLOOKUP(I169,EXTRAS_ARRAY,2,FALSE)</f>
        <v/>
      </c>
      <c r="AB169" s="16" t="inlineStr">
        <is>
          <t>Optional: WCAG 2.1 AA audit + axe-core in CI — 14 screens × 0.5 PD = 7 PDs.</t>
        </is>
      </c>
      <c r="AC169" s="29" t="n"/>
      <c r="AD169" s="226">
        <f>IF(J169&lt;&gt;"Yes",
IF(S169&lt;=0,"Error: Effort value is not defined or is invalid.",
IF(AND(SUM(U169:W169)&gt;0,SUM(U169:W169)&lt;&gt;1),"Error: Complexity % distribution should sum to 100%.",
IF(AND(P169=AS_DEV_EFFORT,X169&lt;&gt;0),"Error: PDs should not be defined when defining as dev effort %.",
IF(AND(P169=AS_DURATION_EFFORT,X169&lt;&gt;0),"Error: PDs should not be defined when defining as duration effort %.","")))))</f>
        <v/>
      </c>
    </row>
    <row r="170" hidden="1" outlineLevel="2" ht="43.5" customHeight="1" s="337">
      <c r="A170" s="212" t="inlineStr">
        <is>
          <t>A</t>
        </is>
      </c>
      <c r="B170" s="14" t="n"/>
      <c r="C170" s="62" t="n"/>
      <c r="D170" s="62" t="n"/>
      <c r="E170" s="62" t="n"/>
      <c r="F170" s="63" t="n"/>
      <c r="G170" s="15" t="inlineStr">
        <is>
          <t>Yes</t>
        </is>
      </c>
      <c r="H170" s="15" t="inlineStr">
        <is>
          <t>-</t>
        </is>
      </c>
      <c r="I170" s="16" t="inlineStr">
        <is>
          <t>-</t>
        </is>
      </c>
      <c r="J170" s="15" t="inlineStr">
        <is>
          <t>-</t>
        </is>
      </c>
      <c r="K170" s="30" t="n"/>
      <c r="L170" s="15" t="n"/>
      <c r="M170" s="229">
        <f>IFERROR(OFFSET(M170,-1,,1,1)+0.1,OFFSET(M170,-1,-1,1,1)&amp;".1")</f>
        <v/>
      </c>
      <c r="N170" s="16" t="inlineStr">
        <is>
          <t>Usability Testing</t>
        </is>
      </c>
      <c r="O170" s="16" t="n"/>
      <c r="P170" s="16" t="inlineStr">
        <is>
          <t>Screens</t>
        </is>
      </c>
      <c r="Q170" s="100" t="n">
        <v>14</v>
      </c>
      <c r="R170" s="95" t="n"/>
      <c r="S170" s="230">
        <f>CEILING((IF(J170="Yes", 0, IF(H170="-",AA170,AA170+AA170*VLOOKUP(H170,BUFFERS_BY_TYPE,2,FALSE)))) +
(IF(J170="Yes", 0, IF(H170="-",AA170,AA170+AA170*VLOOKUP(H170,BUFFERS_BY_TYPE,2,FALSE))))*VLOOKUP($S$5, SALES_CALL_SCALE_ARRAY, 2,FALSE),0.25)</f>
        <v/>
      </c>
      <c r="T170" s="116" t="n"/>
      <c r="U170" s="17" t="n">
        <v>0</v>
      </c>
      <c r="V170" s="17" t="n">
        <v>1</v>
      </c>
      <c r="W170" s="17" t="n">
        <v>0</v>
      </c>
      <c r="X170" s="115" t="n">
        <v>1</v>
      </c>
      <c r="Y170" s="230">
        <f>CEILING((IF(P170=AS_DEV_EFFORT, DEV_EFFORT*Q170%,
IF(P170=AS_DURATION_EFFORT, (MANUAL_DURATION*5)*Q170%,
(IF(Q170&lt;=1,X170,
IF(SUM(U170:W170)=0,(Q170*X170),
(((Q170*U170)*(X170+(X170*EXTRA_FOR_H)))+
((Q170*V170)*X170)+
((Q170*W170)*(X170-(X170*LESS_FOR_L)))
)*IF(R170=0,1,R170))))))+Z170), 0.25)</f>
        <v/>
      </c>
      <c r="Z170" s="18" t="n"/>
      <c r="AA170" s="230">
        <f>Y170+Y170*VLOOKUP(I170,EXTRAS_ARRAY,2,FALSE)</f>
        <v/>
      </c>
      <c r="AB170" s="16" t="inlineStr">
        <is>
          <t>Optional: usability testing kept for Phase 3+ (14 screens × 1 PD = 14 PDs).</t>
        </is>
      </c>
      <c r="AC170" s="29" t="n"/>
      <c r="AD170" s="226">
        <f>IF(J170&lt;&gt;"Yes",
IF(S170&lt;=0,"Error: Effort value is not defined or is invalid.",
IF(AND(SUM(U170:W170)&gt;0,SUM(U170:W170)&lt;&gt;1),"Error: Complexity % distribution should sum to 100%.",
IF(AND(P170=AS_DEV_EFFORT,X170&lt;&gt;0),"Error: PDs should not be defined when defining as dev effort %.",
IF(AND(P170=AS_DURATION_EFFORT,X170&lt;&gt;0),"Error: PDs should not be defined when defining as duration effort %.","")))))</f>
        <v/>
      </c>
    </row>
    <row r="171" hidden="1" outlineLevel="2" ht="7.5" customFormat="1" customHeight="1" s="294">
      <c r="A171" s="212" t="inlineStr">
        <is>
          <t>T3</t>
        </is>
      </c>
      <c r="B171" s="12" t="n"/>
      <c r="C171" s="56" t="n"/>
      <c r="D171" s="56" t="n"/>
      <c r="E171" s="56" t="n"/>
      <c r="F171" s="56" t="n"/>
      <c r="M171" s="180" t="n"/>
      <c r="T171" s="12" t="n"/>
      <c r="X171" s="12" t="n"/>
      <c r="AB171" s="7" t="n"/>
      <c r="AC171" s="7" t="n"/>
      <c r="AD171" s="7" t="n"/>
    </row>
    <row r="172" hidden="1" outlineLevel="1" ht="3" customFormat="1" customHeight="1" s="294">
      <c r="A172" s="212" t="inlineStr">
        <is>
          <t>S3</t>
        </is>
      </c>
      <c r="C172" s="56" t="n"/>
      <c r="D172" s="56" t="n"/>
      <c r="E172" s="56" t="n"/>
      <c r="F172" s="56" t="n"/>
      <c r="G172" s="21" t="n"/>
      <c r="H172" s="21" t="n"/>
      <c r="I172" s="21" t="n"/>
      <c r="J172" s="21" t="n"/>
      <c r="K172" s="21" t="n"/>
      <c r="L172" s="48" t="n"/>
      <c r="M172" s="189" t="n"/>
      <c r="N172" s="49" t="n"/>
      <c r="O172" s="49" t="n"/>
      <c r="P172" s="48" t="n"/>
      <c r="Q172" s="48" t="n"/>
      <c r="R172" s="48" t="n"/>
      <c r="S172" s="48" t="n"/>
      <c r="T172" s="48" t="n"/>
      <c r="U172" s="48" t="n"/>
      <c r="V172" s="48" t="n"/>
      <c r="W172" s="48" t="n"/>
      <c r="X172" s="48" t="n"/>
      <c r="Y172" s="48" t="n"/>
      <c r="Z172" s="48" t="n"/>
      <c r="AA172" s="48" t="n"/>
      <c r="AB172" s="49" t="n"/>
      <c r="AC172" s="49" t="n"/>
      <c r="AD172" s="7" t="n"/>
    </row>
    <row r="173" ht="18.5" customFormat="1" customHeight="1" s="298">
      <c r="A173" s="212" t="inlineStr">
        <is>
          <t>S1</t>
        </is>
      </c>
      <c r="B173" s="9" t="n"/>
      <c r="C173" s="57" t="n"/>
      <c r="D173" s="57" t="n"/>
      <c r="E173" s="57" t="n"/>
      <c r="F173" s="56" t="n"/>
      <c r="G173" s="44" t="n"/>
      <c r="H173" s="44" t="n"/>
      <c r="I173" s="44" t="n"/>
      <c r="J173" s="44" t="n"/>
      <c r="K173" s="44" t="n"/>
      <c r="L173" s="44" t="inlineStr">
        <is>
          <t>E</t>
        </is>
      </c>
      <c r="M173" s="187" t="inlineStr">
        <is>
          <t>Deployment, UAT and Documentation</t>
        </is>
      </c>
      <c r="N173" s="45" t="n"/>
      <c r="O173" s="46" t="n"/>
      <c r="P173" s="47" t="n"/>
      <c r="Q173" s="47" t="n"/>
      <c r="R173" s="47" t="n"/>
      <c r="S173" s="350">
        <f>CEILING(SUMIF(J174:J195, "&lt;&gt;Yes", T174:T195),1)</f>
        <v/>
      </c>
      <c r="T173" s="302" t="n"/>
      <c r="U173" s="47" t="n"/>
      <c r="V173" s="47" t="n"/>
      <c r="W173" s="47" t="n"/>
      <c r="X173" s="47" t="n"/>
      <c r="Y173" s="47" t="n"/>
      <c r="Z173" s="47" t="n"/>
      <c r="AA173" s="47" t="n"/>
      <c r="AB173" s="47" t="n"/>
      <c r="AC173" s="47" t="n"/>
      <c r="AD173" s="10" t="n"/>
    </row>
    <row r="174" outlineLevel="1" ht="3" customFormat="1" customHeight="1" s="294">
      <c r="A174" s="212" t="inlineStr">
        <is>
          <t>S2</t>
        </is>
      </c>
      <c r="B174" s="12" t="n"/>
      <c r="C174" s="56" t="n"/>
      <c r="D174" s="56" t="n"/>
      <c r="E174" s="56" t="n"/>
      <c r="F174" s="56" t="n"/>
      <c r="G174" s="21" t="n"/>
      <c r="H174" s="21" t="n"/>
      <c r="I174" s="21" t="n"/>
      <c r="J174" s="21" t="n"/>
      <c r="K174" s="21" t="n"/>
      <c r="L174" s="53" t="n">
        <v>0</v>
      </c>
      <c r="M174" s="188" t="n"/>
      <c r="N174" s="21" t="n"/>
      <c r="O174" s="21" t="n"/>
      <c r="P174" s="21" t="n"/>
      <c r="Q174" s="21" t="n"/>
      <c r="R174" s="21" t="n"/>
      <c r="S174" s="21" t="n"/>
      <c r="T174" s="22" t="n"/>
      <c r="U174" s="21" t="n"/>
      <c r="V174" s="21" t="n"/>
      <c r="W174" s="21" t="n"/>
      <c r="X174" s="22" t="n"/>
      <c r="Y174" s="21" t="n"/>
      <c r="Z174" s="21" t="n"/>
      <c r="AA174" s="21" t="n"/>
      <c r="AB174" s="23" t="n"/>
      <c r="AC174" s="23" t="n"/>
      <c r="AD174" s="7" t="n"/>
    </row>
    <row r="175" outlineLevel="1" collapsed="1" ht="15.5" customFormat="1" customHeight="1" s="298">
      <c r="A175" s="212" t="inlineStr">
        <is>
          <t>T1</t>
        </is>
      </c>
      <c r="B175" s="14" t="n"/>
      <c r="C175" s="61" t="n"/>
      <c r="D175" s="61" t="n"/>
      <c r="E175" s="61" t="n"/>
      <c r="F175" s="60" t="n"/>
      <c r="G175" s="24" t="n"/>
      <c r="H175" s="24" t="n"/>
      <c r="I175" s="24" t="n"/>
      <c r="J175" s="24" t="n"/>
      <c r="K175" s="24" t="n"/>
      <c r="L175" s="223">
        <f>LOOKUP(1000,INDIRECT("L1:"&amp;CELL("address",INDIRECT("R[-1]C",FALSE))))+1</f>
        <v/>
      </c>
      <c r="M175" s="301" t="inlineStr">
        <is>
          <t>Staging releases (partial)</t>
        </is>
      </c>
      <c r="N175" s="302" t="n"/>
      <c r="O175" s="4" t="n"/>
      <c r="P175" s="25" t="n"/>
      <c r="Q175" s="25" t="n"/>
      <c r="R175" s="25" t="n"/>
      <c r="S175" s="25" t="n"/>
      <c r="T175" s="225">
        <f>IF($S$6="Exclude", SUMIFS(S176:S179, J176:J179, "&lt;&gt;Yes", G176:G179, "&lt;&gt;Yes"), SUMIFS(S176:S179, J176:J179, "&lt;&gt;Yes"))</f>
        <v/>
      </c>
      <c r="U175" s="25" t="n"/>
      <c r="V175" s="25" t="n"/>
      <c r="W175" s="25" t="n"/>
      <c r="X175" s="26" t="n"/>
      <c r="Y175" s="27" t="n"/>
      <c r="Z175" s="27" t="n"/>
      <c r="AA175" s="27" t="n"/>
      <c r="AB175" s="155" t="n"/>
      <c r="AC175" s="28" t="n"/>
      <c r="AD175" s="226">
        <f>IF(M175="", "Error: Task name cannot be empty.", "")</f>
        <v/>
      </c>
    </row>
    <row r="176" hidden="1" outlineLevel="2" ht="1.5" customFormat="1" customHeight="1" s="9">
      <c r="A176" s="212" t="inlineStr">
        <is>
          <t>T2</t>
        </is>
      </c>
      <c r="B176" s="14" t="n"/>
      <c r="C176" s="61" t="n"/>
      <c r="D176" s="61" t="n"/>
      <c r="E176" s="61" t="n"/>
      <c r="F176" s="60" t="n"/>
      <c r="G176" s="24" t="n"/>
      <c r="H176" s="24" t="n"/>
      <c r="I176" s="24" t="n"/>
      <c r="J176" s="24" t="n"/>
      <c r="K176" s="24" t="n"/>
      <c r="L176" s="227">
        <f>L175</f>
        <v/>
      </c>
      <c r="M176" s="228" t="inlineStr">
        <is>
          <t>X</t>
        </is>
      </c>
      <c r="N176" s="118" t="n"/>
      <c r="O176" s="119" t="n"/>
      <c r="P176" s="25" t="n"/>
      <c r="Q176" s="25" t="n"/>
      <c r="R176" s="25" t="n"/>
      <c r="S176" s="25" t="n"/>
      <c r="T176" s="114" t="n"/>
      <c r="U176" s="25" t="n"/>
      <c r="V176" s="25" t="n"/>
      <c r="W176" s="25" t="n"/>
      <c r="X176" s="26" t="n"/>
      <c r="Y176" s="27" t="n"/>
      <c r="Z176" s="27" t="n"/>
      <c r="AA176" s="27" t="n"/>
      <c r="AB176" s="28" t="n"/>
      <c r="AC176" s="28" t="n"/>
      <c r="AD176" s="19" t="n"/>
    </row>
    <row r="177" hidden="1" outlineLevel="2" ht="43.5" customHeight="1" s="337">
      <c r="A177" s="212" t="inlineStr">
        <is>
          <t>A</t>
        </is>
      </c>
      <c r="B177" s="14" t="n"/>
      <c r="C177" s="62" t="n"/>
      <c r="D177" s="62" t="n"/>
      <c r="E177" s="62" t="n"/>
      <c r="F177" s="63" t="n"/>
      <c r="G177" s="15" t="inlineStr">
        <is>
          <t>-</t>
        </is>
      </c>
      <c r="H177" s="15" t="inlineStr">
        <is>
          <t>-</t>
        </is>
      </c>
      <c r="I177" s="16" t="inlineStr">
        <is>
          <t>-</t>
        </is>
      </c>
      <c r="J177" s="15" t="inlineStr">
        <is>
          <t>-</t>
        </is>
      </c>
      <c r="K177" s="30" t="n"/>
      <c r="L177" s="15" t="n"/>
      <c r="M177" s="229">
        <f>IFERROR(OFFSET(M177,-1,,1,1)+0.1,OFFSET(M177,-1,-1,1,1)&amp;".1")</f>
        <v/>
      </c>
      <c r="N177" s="16" t="inlineStr">
        <is>
          <t>Interim demos</t>
        </is>
      </c>
      <c r="O177" s="16" t="n"/>
      <c r="P177" s="16" t="inlineStr">
        <is>
          <t>Demos</t>
        </is>
      </c>
      <c r="Q177" s="100" t="n">
        <v>8</v>
      </c>
      <c r="R177" s="95" t="n"/>
      <c r="S177" s="230">
        <f>CEILING((IF(J177="Yes", 0, IF(H177="-",AA177,AA177+AA177*VLOOKUP(H177,BUFFERS_BY_TYPE,2,FALSE)))) +
   (IF(J177="Yes", 0, IF(H177="-",AA177,AA177+AA177*VLOOKUP(H177,BUFFERS_BY_TYPE,2,FALSE))))*VLOOKUP($S$5, SALES_CALL_SCALE_ARRAY, 2,FALSE),0.25)</f>
        <v/>
      </c>
      <c r="T177" s="116" t="n"/>
      <c r="U177" s="17" t="n">
        <v>0</v>
      </c>
      <c r="V177" s="17" t="n">
        <v>1</v>
      </c>
      <c r="W177" s="17" t="n">
        <v>0</v>
      </c>
      <c r="X177" s="115" t="n">
        <v>0.5</v>
      </c>
      <c r="Y177" s="230">
        <f>CEILING((IF(P177=AS_DEV_EFFORT, DEV_EFFORT*Q177%,
                           IF(P177=AS_DURATION_EFFORT, (MANUAL_DURATION*5)*Q177%,
                                    (IF(Q177&lt;=1,X177,
                                          IF(SUM(U177:W177)=0,(Q177*X177),
                                               (((Q177*U177)*(X177+(X177*EXTRA_FOR_H)))+
                                               ((Q177*V177)*X177)+
                                               ((Q177*W177)*(X177-(X177*LESS_FOR_L)))
                                    )*IF(R177=0,1,R177))))))+Z177), 0.25)</f>
        <v/>
      </c>
      <c r="Z177" s="18" t="n"/>
      <c r="AA177" s="230">
        <f>Y177+Y177*VLOOKUP(I177,EXTRAS_ARRAY,2,FALSE)</f>
        <v/>
      </c>
      <c r="AB177" s="16" t="inlineStr">
        <is>
          <t>8 sprint demos × 0.5 PD = 4 PDs on the Vercel preview environment.</t>
        </is>
      </c>
      <c r="AC177" s="29" t="n"/>
      <c r="AD177" s="226">
        <f>IF(J177&lt;&gt;"Yes",
IF(S177&lt;=0,"Error: Effort value is not defined or is invalid.",
IF(AND(SUM(U177:W177)&gt;0,SUM(U177:W177)&lt;&gt;1),"Error: Complexity % distribution should sum to 100%.",
IF(AND(P177=AS_DEV_EFFORT,X177&lt;&gt;0),"Error: PDs should not be defined when defining as dev effort %.",
IF(AND(P177=AS_DURATION_EFFORT,X177&lt;&gt;0),"Error: PDs should not be defined when defining as duration effort %.","")))))</f>
        <v/>
      </c>
    </row>
    <row r="178" hidden="1" outlineLevel="2" ht="43.5" customHeight="1" s="337">
      <c r="A178" s="212" t="inlineStr">
        <is>
          <t>A</t>
        </is>
      </c>
      <c r="B178" s="14" t="n"/>
      <c r="C178" s="62" t="n"/>
      <c r="D178" s="62" t="n"/>
      <c r="E178" s="62" t="n"/>
      <c r="F178" s="63" t="n"/>
      <c r="G178" s="15" t="inlineStr">
        <is>
          <t>-</t>
        </is>
      </c>
      <c r="H178" s="15" t="inlineStr">
        <is>
          <t>-</t>
        </is>
      </c>
      <c r="I178" s="16" t="inlineStr">
        <is>
          <t>-</t>
        </is>
      </c>
      <c r="J178" s="15" t="inlineStr">
        <is>
          <t>-</t>
        </is>
      </c>
      <c r="K178" s="30" t="n"/>
      <c r="L178" s="15" t="n"/>
      <c r="M178" s="229">
        <f>IFERROR(OFFSET(M178,-1,,1,1)+0.1,OFFSET(M178,-1,-1,1,1)&amp;".1")</f>
        <v/>
      </c>
      <c r="N178" s="16" t="inlineStr">
        <is>
          <t>Interim staging releases
&gt;&gt; Preparation of release notes, installer, builds, etc.</t>
        </is>
      </c>
      <c r="O178" s="16" t="n"/>
      <c r="P178" s="16" t="inlineStr">
        <is>
          <t>Releases</t>
        </is>
      </c>
      <c r="Q178" s="100" t="n">
        <v>8</v>
      </c>
      <c r="R178" s="95" t="n"/>
      <c r="S178" s="230">
        <f>CEILING((IF(J178="Yes", 0, IF(H178="-",AA178,AA178+AA178*VLOOKUP(H178,BUFFERS_BY_TYPE,2,FALSE)))) +
   (IF(J178="Yes", 0, IF(H178="-",AA178,AA178+AA178*VLOOKUP(H178,BUFFERS_BY_TYPE,2,FALSE))))*VLOOKUP($S$5, SALES_CALL_SCALE_ARRAY, 2,FALSE),0.25)</f>
        <v/>
      </c>
      <c r="T178" s="116" t="n"/>
      <c r="U178" s="17" t="n">
        <v>0</v>
      </c>
      <c r="V178" s="17" t="n">
        <v>1</v>
      </c>
      <c r="W178" s="17" t="n">
        <v>0</v>
      </c>
      <c r="X178" s="115" t="n">
        <v>0.4</v>
      </c>
      <c r="Y178" s="230">
        <f>CEILING((IF(P178=AS_DEV_EFFORT, DEV_EFFORT*Q178%,
                           IF(P178=AS_DURATION_EFFORT, (MANUAL_DURATION*5)*Q178%,
                                    (IF(Q178&lt;=1,X178,
                                          IF(SUM(U178:W178)=0,(Q178*X178),
                                               (((Q178*U178)*(X178+(X178*EXTRA_FOR_H)))+
                                               ((Q178*V178)*X178)+
                                               ((Q178*W178)*(X178-(X178*LESS_FOR_L)))
                                    )*IF(R178=0,1,R178))))))+Z178), 0.25)</f>
        <v/>
      </c>
      <c r="Z178" s="18" t="n"/>
      <c r="AA178" s="230">
        <f>Y178+Y178*VLOOKUP(I178,EXTRAS_ARRAY,2,FALSE)</f>
        <v/>
      </c>
      <c r="AB178" s="16" t="inlineStr">
        <is>
          <t>8 interim staging releases × 0.4 PD = 3.2 PDs (one per sprint).</t>
        </is>
      </c>
      <c r="AC178" s="29" t="n"/>
      <c r="AD178" s="226">
        <f>IF(J178&lt;&gt;"Yes",
IF(S178&lt;=0,"Error: Effort value is not defined or is invalid.",
IF(AND(SUM(U178:W178)&gt;0,SUM(U178:W178)&lt;&gt;1),"Error: Complexity % distribution should sum to 100%.",
IF(AND(P178=AS_DEV_EFFORT,X178&lt;&gt;0),"Error: PDs should not be defined when defining as dev effort %.",
IF(AND(P178=AS_DURATION_EFFORT,X178&lt;&gt;0),"Error: PDs should not be defined when defining as duration effort %.","")))))</f>
        <v/>
      </c>
    </row>
    <row r="179" hidden="1" outlineLevel="2" ht="7.5" customFormat="1" customHeight="1" s="294">
      <c r="A179" s="212" t="inlineStr">
        <is>
          <t>T3</t>
        </is>
      </c>
      <c r="B179" s="12" t="n"/>
      <c r="C179" s="56" t="n"/>
      <c r="D179" s="56" t="n"/>
      <c r="E179" s="56" t="n"/>
      <c r="F179" s="56" t="n"/>
      <c r="M179" s="180" t="n"/>
      <c r="T179" s="12" t="n"/>
      <c r="X179" s="12" t="n"/>
      <c r="AB179" s="7" t="n"/>
      <c r="AC179" s="7" t="n"/>
      <c r="AD179" s="7" t="n"/>
    </row>
    <row r="180" outlineLevel="1" collapsed="1" ht="15.5" customFormat="1" customHeight="1" s="298">
      <c r="A180" s="212" t="inlineStr">
        <is>
          <t>T1</t>
        </is>
      </c>
      <c r="B180" s="14" t="n"/>
      <c r="C180" s="61" t="n"/>
      <c r="D180" s="61" t="n"/>
      <c r="E180" s="61" t="n"/>
      <c r="F180" s="60" t="n"/>
      <c r="G180" s="24" t="n"/>
      <c r="H180" s="24" t="n"/>
      <c r="I180" s="24" t="n"/>
      <c r="J180" s="24" t="n"/>
      <c r="K180" s="24" t="n"/>
      <c r="L180" s="223">
        <f>LOOKUP(1000,INDIRECT("L1:"&amp;CELL("address",INDIRECT("R[-1]C",FALSE))))+1</f>
        <v/>
      </c>
      <c r="M180" s="301" t="inlineStr">
        <is>
          <t>UAT Release (Full)</t>
        </is>
      </c>
      <c r="N180" s="302" t="n"/>
      <c r="O180" s="4" t="n"/>
      <c r="P180" s="25" t="n"/>
      <c r="Q180" s="25" t="n"/>
      <c r="R180" s="25" t="n"/>
      <c r="S180" s="25" t="n"/>
      <c r="T180" s="225">
        <f>IF($S$6="Exclude", SUMIFS(S181:S183, J181:J183, "&lt;&gt;Yes", G181:G183, "&lt;&gt;Yes"), SUMIFS(S181:S183, J181:J183, "&lt;&gt;Yes"))</f>
        <v/>
      </c>
      <c r="U180" s="25" t="n"/>
      <c r="V180" s="25" t="n"/>
      <c r="W180" s="25" t="n"/>
      <c r="X180" s="26" t="n"/>
      <c r="Y180" s="27" t="n"/>
      <c r="Z180" s="27" t="n"/>
      <c r="AA180" s="27" t="n"/>
      <c r="AB180" s="155" t="n"/>
      <c r="AC180" s="28" t="n"/>
      <c r="AD180" s="226">
        <f>IF(M180="", "Error: Task name cannot be empty.", "")</f>
        <v/>
      </c>
    </row>
    <row r="181" hidden="1" outlineLevel="2" ht="1.5" customFormat="1" customHeight="1" s="9">
      <c r="A181" s="212" t="inlineStr">
        <is>
          <t>T2</t>
        </is>
      </c>
      <c r="B181" s="14" t="n"/>
      <c r="C181" s="61" t="n"/>
      <c r="D181" s="61" t="n"/>
      <c r="E181" s="61" t="n"/>
      <c r="F181" s="60" t="n"/>
      <c r="G181" s="24" t="n"/>
      <c r="H181" s="24" t="n"/>
      <c r="I181" s="24" t="n"/>
      <c r="J181" s="24" t="n"/>
      <c r="K181" s="24" t="n"/>
      <c r="L181" s="227">
        <f>L180</f>
        <v/>
      </c>
      <c r="M181" s="228" t="inlineStr">
        <is>
          <t>X</t>
        </is>
      </c>
      <c r="N181" s="118" t="n"/>
      <c r="O181" s="119" t="n"/>
      <c r="P181" s="25" t="n"/>
      <c r="Q181" s="25" t="n"/>
      <c r="R181" s="25" t="n"/>
      <c r="S181" s="25" t="n"/>
      <c r="T181" s="114" t="n"/>
      <c r="U181" s="25" t="n"/>
      <c r="V181" s="25" t="n"/>
      <c r="W181" s="25" t="n"/>
      <c r="X181" s="26" t="n"/>
      <c r="Y181" s="27" t="n"/>
      <c r="Z181" s="27" t="n"/>
      <c r="AA181" s="27" t="n"/>
      <c r="AB181" s="28" t="n"/>
      <c r="AC181" s="28" t="n"/>
      <c r="AD181" s="19" t="n"/>
    </row>
    <row r="182" hidden="1" outlineLevel="2" ht="58" customHeight="1" s="337">
      <c r="A182" s="212" t="inlineStr">
        <is>
          <t>A</t>
        </is>
      </c>
      <c r="B182" s="14" t="n"/>
      <c r="C182" s="62" t="n"/>
      <c r="D182" s="62" t="n"/>
      <c r="E182" s="62" t="n"/>
      <c r="F182" s="63" t="n"/>
      <c r="G182" s="15" t="inlineStr">
        <is>
          <t>-</t>
        </is>
      </c>
      <c r="H182" s="15" t="inlineStr">
        <is>
          <t>-</t>
        </is>
      </c>
      <c r="I182" s="16" t="inlineStr">
        <is>
          <t>-</t>
        </is>
      </c>
      <c r="J182" s="15" t="inlineStr">
        <is>
          <t>-</t>
        </is>
      </c>
      <c r="K182" s="30" t="n"/>
      <c r="L182" s="15" t="n"/>
      <c r="M182" s="229">
        <f>IFERROR(OFFSET(M182,-1,,1,1)+0.1,OFFSET(M182,-1,-1,1,1)&amp;".1")</f>
        <v/>
      </c>
      <c r="N182" s="16" t="inlineStr">
        <is>
          <t>UAT release
&gt;&gt; Preparation of release notes, installer, builds, etc.
&gt;&gt; UNIT: Total No. of Resources x N UAT cycle</t>
        </is>
      </c>
      <c r="O182" s="16" t="n"/>
      <c r="P182" s="16" t="inlineStr">
        <is>
          <t>Resources
Weeks</t>
        </is>
      </c>
      <c r="Q182" s="100" t="n">
        <v>1</v>
      </c>
      <c r="R182" s="95" t="n">
        <v>2</v>
      </c>
      <c r="S182" s="230">
        <f>CEILING((IF(J182="Yes", 0, IF(H182="-",AA182,AA182+AA182*VLOOKUP(H182,BUFFERS_BY_TYPE,2,FALSE)))) +
   (IF(J182="Yes", 0, IF(H182="-",AA182,AA182+AA182*VLOOKUP(H182,BUFFERS_BY_TYPE,2,FALSE))))*VLOOKUP($S$5, SALES_CALL_SCALE_ARRAY, 2,FALSE),0.25)</f>
        <v/>
      </c>
      <c r="T182" s="116" t="n"/>
      <c r="U182" s="17" t="n">
        <v>0</v>
      </c>
      <c r="V182" s="17" t="n">
        <v>1</v>
      </c>
      <c r="W182" s="17" t="n">
        <v>0</v>
      </c>
      <c r="X182" s="115" t="n">
        <v>5</v>
      </c>
      <c r="Y182" s="230">
        <f>CEILING((IF(P182=AS_DEV_EFFORT, DEV_EFFORT*Q182%,
                           IF(P182=AS_DURATION_EFFORT, (MANUAL_DURATION*5)*Q182%,
                                    (IF(Q182&lt;=1,X182,
                                          IF(SUM(U182:W182)=0,(Q182*X182),
                                               (((Q182*U182)*(X182+(X182*EXTRA_FOR_H)))+
                                               ((Q182*V182)*X182)+
                                               ((Q182*W182)*(X182-(X182*LESS_FOR_L)))
                                    )*IF(R182=0,1,R182))))))+Z182), 0.25)</f>
        <v/>
      </c>
      <c r="Z182" s="18" t="n"/>
      <c r="AA182" s="230">
        <f>Y182+Y182*VLOOKUP(I182,EXTRAS_ARRAY,2,FALSE)</f>
        <v/>
      </c>
      <c r="AB182" s="16" t="inlineStr">
        <is>
          <t>UAT release: 1 resource × 2 weeks × 5 PD/week = 10 PDs (release notes, deploy doc, runbook).</t>
        </is>
      </c>
      <c r="AC182" s="29" t="n"/>
      <c r="AD182" s="226">
        <f>IF(J182&lt;&gt;"Yes",
IF(S182&lt;=0,"Error: Effort value is not defined or is invalid.",
IF(AND(SUM(U182:W182)&gt;0,SUM(U182:W182)&lt;&gt;1),"Error: Complexity % distribution should sum to 100%.",
IF(AND(P182=AS_DEV_EFFORT,X182&lt;&gt;0),"Error: PDs should not be defined when defining as dev effort %.",
IF(AND(P182=AS_DURATION_EFFORT,X182&lt;&gt;0),"Error: PDs should not be defined when defining as duration effort %.","")))))</f>
        <v/>
      </c>
    </row>
    <row r="183" hidden="1" outlineLevel="2" ht="7.5" customFormat="1" customHeight="1" s="294">
      <c r="A183" s="212" t="inlineStr">
        <is>
          <t>T3</t>
        </is>
      </c>
      <c r="B183" s="12" t="n"/>
      <c r="C183" s="56" t="n"/>
      <c r="D183" s="56" t="n"/>
      <c r="E183" s="56" t="n"/>
      <c r="F183" s="56" t="n"/>
      <c r="M183" s="180" t="n"/>
      <c r="T183" s="12" t="n"/>
      <c r="X183" s="12" t="n"/>
      <c r="AB183" s="7" t="n"/>
      <c r="AC183" s="7" t="n"/>
      <c r="AD183" s="7" t="n"/>
    </row>
    <row r="184" outlineLevel="1" collapsed="1" ht="15.5" customFormat="1" customHeight="1" s="298">
      <c r="A184" s="212" t="inlineStr">
        <is>
          <t>T1</t>
        </is>
      </c>
      <c r="B184" s="14" t="n"/>
      <c r="C184" s="61" t="n"/>
      <c r="D184" s="61" t="n"/>
      <c r="E184" s="61" t="n"/>
      <c r="F184" s="60" t="n"/>
      <c r="G184" s="24" t="n"/>
      <c r="H184" s="24" t="n"/>
      <c r="I184" s="24" t="n"/>
      <c r="J184" s="24" t="n"/>
      <c r="K184" s="24" t="n"/>
      <c r="L184" s="223">
        <f>LOOKUP(1000,INDIRECT("L1:"&amp;CELL("address",INDIRECT("R[-1]C",FALSE))))+1</f>
        <v/>
      </c>
      <c r="M184" s="301" t="inlineStr">
        <is>
          <t>Production Release (Full)</t>
        </is>
      </c>
      <c r="N184" s="302" t="n"/>
      <c r="O184" s="4" t="n"/>
      <c r="P184" s="25" t="n"/>
      <c r="Q184" s="25" t="n"/>
      <c r="R184" s="25" t="n"/>
      <c r="S184" s="25" t="n"/>
      <c r="T184" s="225">
        <f>IF($S$6="Exclude", SUMIFS(S185:S187, J185:J187, "&lt;&gt;Yes", G185:G187, "&lt;&gt;Yes"), SUMIFS(S185:S187, J185:J187, "&lt;&gt;Yes"))</f>
        <v/>
      </c>
      <c r="U184" s="25" t="n"/>
      <c r="V184" s="25" t="n"/>
      <c r="W184" s="25" t="n"/>
      <c r="X184" s="26" t="n"/>
      <c r="Y184" s="27" t="n"/>
      <c r="Z184" s="27" t="n"/>
      <c r="AA184" s="27" t="n"/>
      <c r="AB184" s="155" t="n"/>
      <c r="AC184" s="28" t="n"/>
      <c r="AD184" s="226">
        <f>IF(M184="", "Error: Task name cannot be empty.", "")</f>
        <v/>
      </c>
    </row>
    <row r="185" hidden="1" outlineLevel="2" ht="1.5" customFormat="1" customHeight="1" s="9">
      <c r="A185" s="212" t="inlineStr">
        <is>
          <t>T2</t>
        </is>
      </c>
      <c r="B185" s="14" t="n"/>
      <c r="C185" s="61" t="n"/>
      <c r="D185" s="61" t="n"/>
      <c r="E185" s="61" t="n"/>
      <c r="F185" s="60" t="n"/>
      <c r="G185" s="24" t="n"/>
      <c r="H185" s="24" t="n"/>
      <c r="I185" s="24" t="n"/>
      <c r="J185" s="24" t="n"/>
      <c r="K185" s="24" t="n"/>
      <c r="L185" s="227">
        <f>L184</f>
        <v/>
      </c>
      <c r="M185" s="228" t="inlineStr">
        <is>
          <t>X</t>
        </is>
      </c>
      <c r="N185" s="118" t="n"/>
      <c r="O185" s="119" t="n"/>
      <c r="P185" s="25" t="n"/>
      <c r="Q185" s="25" t="n"/>
      <c r="R185" s="25" t="n"/>
      <c r="S185" s="25" t="n"/>
      <c r="T185" s="114" t="n"/>
      <c r="U185" s="25" t="n"/>
      <c r="V185" s="25" t="n"/>
      <c r="W185" s="25" t="n"/>
      <c r="X185" s="26" t="n"/>
      <c r="Y185" s="27" t="n"/>
      <c r="Z185" s="27" t="n"/>
      <c r="AA185" s="27" t="n"/>
      <c r="AB185" s="28" t="n"/>
      <c r="AC185" s="28" t="n"/>
      <c r="AD185" s="19" t="n"/>
    </row>
    <row r="186" hidden="1" outlineLevel="2" ht="43.5" customHeight="1" s="337">
      <c r="A186" s="212" t="inlineStr">
        <is>
          <t>A</t>
        </is>
      </c>
      <c r="B186" s="14" t="n"/>
      <c r="C186" s="62" t="n"/>
      <c r="D186" s="62" t="n"/>
      <c r="E186" s="62" t="n"/>
      <c r="F186" s="63" t="n"/>
      <c r="G186" s="15" t="inlineStr">
        <is>
          <t>-</t>
        </is>
      </c>
      <c r="H186" s="15" t="inlineStr">
        <is>
          <t>-</t>
        </is>
      </c>
      <c r="I186" s="16" t="inlineStr">
        <is>
          <t>-</t>
        </is>
      </c>
      <c r="J186" s="15" t="inlineStr">
        <is>
          <t>-</t>
        </is>
      </c>
      <c r="K186" s="30" t="n"/>
      <c r="L186" s="15" t="n"/>
      <c r="M186" s="229">
        <f>IFERROR(OFFSET(M186,-1,,1,1)+0.1,OFFSET(M186,-1,-1,1,1)&amp;".1")</f>
        <v/>
      </c>
      <c r="N186" s="16" t="inlineStr">
        <is>
          <t>Final production release
&gt;&gt; Preparation of release notes, installer, builds, etc.</t>
        </is>
      </c>
      <c r="O186" s="16" t="n"/>
      <c r="P186" s="16" t="inlineStr">
        <is>
          <t>Resources
Weeks</t>
        </is>
      </c>
      <c r="Q186" s="100" t="n">
        <v>1</v>
      </c>
      <c r="R186" s="95" t="n">
        <v>2</v>
      </c>
      <c r="S186" s="230">
        <f>CEILING((IF(J186="Yes", 0, IF(H186="-",AA186,AA186+AA186*VLOOKUP(H186,BUFFERS_BY_TYPE,2,FALSE)))) +
   (IF(J186="Yes", 0, IF(H186="-",AA186,AA186+AA186*VLOOKUP(H186,BUFFERS_BY_TYPE,2,FALSE))))*VLOOKUP($S$5, SALES_CALL_SCALE_ARRAY, 2,FALSE),0.25)</f>
        <v/>
      </c>
      <c r="T186" s="116" t="n"/>
      <c r="U186" s="17" t="n">
        <v>0</v>
      </c>
      <c r="V186" s="17" t="n">
        <v>1</v>
      </c>
      <c r="W186" s="17" t="n">
        <v>0</v>
      </c>
      <c r="X186" s="115" t="n">
        <v>5</v>
      </c>
      <c r="Y186" s="230">
        <f>CEILING((IF(P186=AS_DEV_EFFORT, DEV_EFFORT*Q186%,
                           IF(P186=AS_DURATION_EFFORT, (MANUAL_DURATION*5)*Q186%,
                                    (IF(Q186&lt;=1,X186,
                                          IF(SUM(U186:W186)=0,(Q186*X186),
                                               (((Q186*U186)*(X186+(X186*EXTRA_FOR_H)))+
                                               ((Q186*V186)*X186)+
                                               ((Q186*W186)*(X186-(X186*LESS_FOR_L)))
                                    )*IF(R186=0,1,R186))))))+Z186), 0.25)</f>
        <v/>
      </c>
      <c r="Z186" s="18" t="n"/>
      <c r="AA186" s="230">
        <f>Y186+Y186*VLOOKUP(I186,EXTRAS_ARRAY,2,FALSE)</f>
        <v/>
      </c>
      <c r="AB186" s="16" t="inlineStr">
        <is>
          <t>Production release: 1 resource × 2 weeks × 5 PD/week = 10 PDs (final cut-over + go-live war room).</t>
        </is>
      </c>
      <c r="AC186" s="29" t="n"/>
      <c r="AD186" s="226">
        <f>IF(J186&lt;&gt;"Yes",
IF(S186&lt;=0,"Error: Effort value is not defined or is invalid.",
IF(AND(SUM(U186:W186)&gt;0,SUM(U186:W186)&lt;&gt;1),"Error: Complexity % distribution should sum to 100%.",
IF(AND(P186=AS_DEV_EFFORT,X186&lt;&gt;0),"Error: PDs should not be defined when defining as dev effort %.",
IF(AND(P186=AS_DURATION_EFFORT,X186&lt;&gt;0),"Error: PDs should not be defined when defining as duration effort %.","")))))</f>
        <v/>
      </c>
    </row>
    <row r="187" hidden="1" outlineLevel="2" ht="7.5" customFormat="1" customHeight="1" s="294">
      <c r="A187" s="212" t="inlineStr">
        <is>
          <t>T3</t>
        </is>
      </c>
      <c r="B187" s="12" t="n"/>
      <c r="C187" s="56" t="n"/>
      <c r="D187" s="56" t="n"/>
      <c r="E187" s="56" t="n"/>
      <c r="F187" s="56" t="n"/>
      <c r="M187" s="180" t="n"/>
      <c r="T187" s="12" t="n"/>
      <c r="X187" s="12" t="n"/>
      <c r="AB187" s="7" t="n"/>
      <c r="AC187" s="7" t="n"/>
      <c r="AD187" s="7" t="n"/>
    </row>
    <row r="188" outlineLevel="1" collapsed="1" ht="15.5" customFormat="1" customHeight="1" s="298">
      <c r="A188" s="212" t="inlineStr">
        <is>
          <t>T1</t>
        </is>
      </c>
      <c r="B188" s="14" t="n"/>
      <c r="C188" s="61" t="n"/>
      <c r="D188" s="61" t="n"/>
      <c r="E188" s="61" t="n"/>
      <c r="F188" s="60" t="n"/>
      <c r="G188" s="24" t="n"/>
      <c r="H188" s="24" t="n"/>
      <c r="I188" s="24" t="n"/>
      <c r="J188" s="24" t="n"/>
      <c r="K188" s="24" t="n"/>
      <c r="L188" s="223">
        <f>LOOKUP(1000,INDIRECT("L1:"&amp;CELL("address",INDIRECT("R[-1]C",FALSE))))+1</f>
        <v/>
      </c>
      <c r="M188" s="301" t="inlineStr">
        <is>
          <t>Documentation and training</t>
        </is>
      </c>
      <c r="N188" s="302" t="n"/>
      <c r="O188" s="4" t="n"/>
      <c r="P188" s="25" t="n"/>
      <c r="Q188" s="25" t="n"/>
      <c r="R188" s="25" t="n"/>
      <c r="S188" s="25" t="n"/>
      <c r="T188" s="225">
        <f>IF($S$6="Exclude", SUMIFS(S189:S194, J189:J194, "&lt;&gt;Yes", G189:G194, "&lt;&gt;Yes"), SUMIFS(S189:S194, J189:J194, "&lt;&gt;Yes"))</f>
        <v/>
      </c>
      <c r="U188" s="25" t="n"/>
      <c r="V188" s="25" t="n"/>
      <c r="W188" s="25" t="n"/>
      <c r="X188" s="26" t="n"/>
      <c r="Y188" s="27" t="n"/>
      <c r="Z188" s="27" t="n"/>
      <c r="AA188" s="27" t="n"/>
      <c r="AB188" s="155" t="n"/>
      <c r="AC188" s="28" t="n"/>
      <c r="AD188" s="226">
        <f>IF(M188="", "Error: Task name cannot be empty.", "")</f>
        <v/>
      </c>
    </row>
    <row r="189" hidden="1" outlineLevel="2" ht="1.5" customFormat="1" customHeight="1" s="9">
      <c r="A189" s="212" t="inlineStr">
        <is>
          <t>T2</t>
        </is>
      </c>
      <c r="B189" s="14" t="n"/>
      <c r="C189" s="61" t="n"/>
      <c r="D189" s="61" t="n"/>
      <c r="E189" s="61" t="n"/>
      <c r="F189" s="60" t="n"/>
      <c r="G189" s="24" t="n"/>
      <c r="H189" s="24" t="n"/>
      <c r="I189" s="24" t="n"/>
      <c r="J189" s="24" t="n"/>
      <c r="K189" s="24" t="n"/>
      <c r="L189" s="227">
        <f>L188</f>
        <v/>
      </c>
      <c r="M189" s="228" t="inlineStr">
        <is>
          <t>X</t>
        </is>
      </c>
      <c r="N189" s="118" t="n"/>
      <c r="O189" s="119" t="n"/>
      <c r="P189" s="25" t="n"/>
      <c r="Q189" s="25" t="n"/>
      <c r="R189" s="25" t="n"/>
      <c r="S189" s="25" t="n"/>
      <c r="T189" s="114" t="n"/>
      <c r="U189" s="25" t="n"/>
      <c r="V189" s="25" t="n"/>
      <c r="W189" s="25" t="n"/>
      <c r="X189" s="26" t="n"/>
      <c r="Y189" s="27" t="n"/>
      <c r="Z189" s="27" t="n"/>
      <c r="AA189" s="27" t="n"/>
      <c r="AB189" s="28" t="n"/>
      <c r="AC189" s="28" t="n"/>
      <c r="AD189" s="19" t="n"/>
    </row>
    <row r="190" hidden="1" outlineLevel="2" ht="43.5" customHeight="1" s="337">
      <c r="A190" s="212" t="inlineStr">
        <is>
          <t>A</t>
        </is>
      </c>
      <c r="B190" s="14" t="n"/>
      <c r="C190" s="62" t="n"/>
      <c r="D190" s="62" t="n"/>
      <c r="E190" s="62" t="n"/>
      <c r="F190" s="63" t="n"/>
      <c r="G190" s="15" t="inlineStr">
        <is>
          <t>-</t>
        </is>
      </c>
      <c r="H190" s="15" t="inlineStr">
        <is>
          <t>-</t>
        </is>
      </c>
      <c r="I190" s="16" t="inlineStr">
        <is>
          <t>-</t>
        </is>
      </c>
      <c r="J190" s="15" t="inlineStr">
        <is>
          <t>-</t>
        </is>
      </c>
      <c r="K190" s="30" t="n"/>
      <c r="L190" s="15" t="n"/>
      <c r="M190" s="229">
        <f>IFERROR(OFFSET(M190,-1,,1,1)+0.1,OFFSET(M190,-1,-1,1,1)&amp;".1")</f>
        <v/>
      </c>
      <c r="N190" s="16" t="inlineStr">
        <is>
          <t>Deployment document</t>
        </is>
      </c>
      <c r="O190" s="16" t="n"/>
      <c r="P190" s="16" t="n"/>
      <c r="Q190" s="100" t="n">
        <v>1</v>
      </c>
      <c r="R190" s="95" t="n"/>
      <c r="S190" s="230">
        <f>CEILING((IF(J190="Yes", 0, IF(H190="-",AA190,AA190+AA190*VLOOKUP(H190,BUFFERS_BY_TYPE,2,FALSE)))) +
   (IF(J190="Yes", 0, IF(H190="-",AA190,AA190+AA190*VLOOKUP(H190,BUFFERS_BY_TYPE,2,FALSE))))*VLOOKUP($S$5, SALES_CALL_SCALE_ARRAY, 2,FALSE),0.25)</f>
        <v/>
      </c>
      <c r="T190" s="116" t="n"/>
      <c r="U190" s="17" t="n">
        <v>0</v>
      </c>
      <c r="V190" s="17" t="n">
        <v>1</v>
      </c>
      <c r="W190" s="17" t="n">
        <v>0</v>
      </c>
      <c r="X190" s="115" t="n">
        <v>1</v>
      </c>
      <c r="Y190" s="230">
        <f>CEILING((IF(P190=AS_DEV_EFFORT, DEV_EFFORT*Q190%,
                           IF(P190=AS_DURATION_EFFORT, (MANUAL_DURATION*5)*Q190%,
                                    (IF(Q190&lt;=1,X190,
                                          IF(SUM(U190:W190)=0,(Q190*X190),
                                               (((Q190*U190)*(X190+(X190*EXTRA_FOR_H)))+
                                               ((Q190*V190)*X190)+
                                               ((Q190*W190)*(X190-(X190*LESS_FOR_L)))
                                    )*IF(R190=0,1,R190))))))+Z190), 0.25)</f>
        <v/>
      </c>
      <c r="Z190" s="18" t="n"/>
      <c r="AA190" s="230">
        <f>Y190+Y190*VLOOKUP(I190,EXTRAS_ARRAY,2,FALSE)</f>
        <v/>
      </c>
      <c r="AB190" s="16" t="inlineStr">
        <is>
          <t>Deployment guide (Vercel + Kubernetes manifests + Dockerfile) (1 PD).</t>
        </is>
      </c>
      <c r="AC190" s="29" t="n"/>
      <c r="AD190" s="226">
        <f>IF(J190&lt;&gt;"Yes",
IF(S190&lt;=0,"Error: Effort value is not defined or is invalid.",
IF(AND(SUM(U190:W190)&gt;0,SUM(U190:W190)&lt;&gt;1),"Error: Complexity % distribution should sum to 100%.",
IF(AND(P190=AS_DEV_EFFORT,X190&lt;&gt;0),"Error: PDs should not be defined when defining as dev effort %.",
IF(AND(P190=AS_DURATION_EFFORT,X190&lt;&gt;0),"Error: PDs should not be defined when defining as duration effort %.","")))))</f>
        <v/>
      </c>
    </row>
    <row r="191" hidden="1" outlineLevel="2" ht="43.5" customHeight="1" s="337">
      <c r="A191" s="212" t="inlineStr">
        <is>
          <t>A</t>
        </is>
      </c>
      <c r="B191" s="14" t="n"/>
      <c r="C191" s="62" t="n"/>
      <c r="D191" s="62" t="n"/>
      <c r="E191" s="62" t="n"/>
      <c r="F191" s="63" t="n"/>
      <c r="G191" s="15" t="inlineStr">
        <is>
          <t>-</t>
        </is>
      </c>
      <c r="H191" s="15" t="inlineStr">
        <is>
          <t>-</t>
        </is>
      </c>
      <c r="I191" s="16" t="inlineStr">
        <is>
          <t>-</t>
        </is>
      </c>
      <c r="J191" s="15" t="inlineStr">
        <is>
          <t>-</t>
        </is>
      </c>
      <c r="K191" s="30" t="n"/>
      <c r="L191" s="15" t="n"/>
      <c r="M191" s="229">
        <f>IFERROR(OFFSET(M191,-1,,1,1)+0.1,OFFSET(M191,-1,-1,1,1)&amp;".1")</f>
        <v/>
      </c>
      <c r="N191" s="16" t="inlineStr">
        <is>
          <t>Training Plan and artifacts</t>
        </is>
      </c>
      <c r="O191" s="16" t="n"/>
      <c r="P191" s="16" t="n"/>
      <c r="Q191" s="100" t="n">
        <v>1</v>
      </c>
      <c r="R191" s="95" t="n"/>
      <c r="S191" s="230">
        <f>CEILING((IF(J191="Yes", 0, IF(H191="-",AA191,AA191+AA191*VLOOKUP(H191,BUFFERS_BY_TYPE,2,FALSE)))) +
   (IF(J191="Yes", 0, IF(H191="-",AA191,AA191+AA191*VLOOKUP(H191,BUFFERS_BY_TYPE,2,FALSE))))*VLOOKUP($S$5, SALES_CALL_SCALE_ARRAY, 2,FALSE),0.25)</f>
        <v/>
      </c>
      <c r="T191" s="116" t="n"/>
      <c r="U191" s="17" t="n">
        <v>0</v>
      </c>
      <c r="V191" s="17" t="n">
        <v>1</v>
      </c>
      <c r="W191" s="17" t="n">
        <v>0</v>
      </c>
      <c r="X191" s="115" t="n">
        <v>1</v>
      </c>
      <c r="Y191" s="230">
        <f>CEILING((IF(P191=AS_DEV_EFFORT, DEV_EFFORT*Q191%,
                           IF(P191=AS_DURATION_EFFORT, (MANUAL_DURATION*5)*Q191%,
                                    (IF(Q191&lt;=1,X191,
                                          IF(SUM(U191:W191)=0,(Q191*X191),
                                               (((Q191*U191)*(X191+(X191*EXTRA_FOR_H)))+
                                               ((Q191*V191)*X191)+
                                               ((Q191*W191)*(X191-(X191*LESS_FOR_L)))
                                    )*IF(R191=0,1,R191))))))+Z191), 0.25)</f>
        <v/>
      </c>
      <c r="Z191" s="18" t="n"/>
      <c r="AA191" s="230">
        <f>Y191+Y191*VLOOKUP(I191,EXTRAS_ARRAY,2,FALSE)</f>
        <v/>
      </c>
      <c r="AB191" s="16" t="inlineStr">
        <is>
          <t>Training plan + artefacts (admin, ops, support) (1 PD).</t>
        </is>
      </c>
      <c r="AC191" s="29" t="n"/>
      <c r="AD191" s="226">
        <f>IF(J191&lt;&gt;"Yes",
IF(S191&lt;=0,"Error: Effort value is not defined or is invalid.",
IF(AND(SUM(U191:W191)&gt;0,SUM(U191:W191)&lt;&gt;1),"Error: Complexity % distribution should sum to 100%.",
IF(AND(P191=AS_DEV_EFFORT,X191&lt;&gt;0),"Error: PDs should not be defined when defining as dev effort %.",
IF(AND(P191=AS_DURATION_EFFORT,X191&lt;&gt;0),"Error: PDs should not be defined when defining as duration effort %.","")))))</f>
        <v/>
      </c>
    </row>
    <row r="192" hidden="1" outlineLevel="2" ht="43.5" customHeight="1" s="337">
      <c r="A192" s="212" t="inlineStr">
        <is>
          <t>A</t>
        </is>
      </c>
      <c r="B192" s="14" t="n"/>
      <c r="C192" s="62" t="n"/>
      <c r="D192" s="62" t="n"/>
      <c r="E192" s="62" t="n"/>
      <c r="F192" s="63" t="n"/>
      <c r="G192" s="15" t="inlineStr">
        <is>
          <t>-</t>
        </is>
      </c>
      <c r="H192" s="15" t="inlineStr">
        <is>
          <t>-</t>
        </is>
      </c>
      <c r="I192" s="16" t="inlineStr">
        <is>
          <t>-</t>
        </is>
      </c>
      <c r="J192" s="15" t="inlineStr">
        <is>
          <t>-</t>
        </is>
      </c>
      <c r="K192" s="30" t="n"/>
      <c r="L192" s="15" t="n"/>
      <c r="M192" s="229">
        <f>IFERROR(OFFSET(M192,-1,,1,1)+0.1,OFFSET(M192,-1,-1,1,1)&amp;".1")</f>
        <v/>
      </c>
      <c r="N192" s="16" t="inlineStr">
        <is>
          <t>User manual</t>
        </is>
      </c>
      <c r="O192" s="16" t="n"/>
      <c r="P192" s="16" t="n"/>
      <c r="Q192" s="100" t="n">
        <v>1</v>
      </c>
      <c r="R192" s="95" t="n"/>
      <c r="S192" s="230">
        <f>CEILING((IF(J192="Yes", 0, IF(H192="-",AA192,AA192+AA192*VLOOKUP(H192,BUFFERS_BY_TYPE,2,FALSE)))) +
   (IF(J192="Yes", 0, IF(H192="-",AA192,AA192+AA192*VLOOKUP(H192,BUFFERS_BY_TYPE,2,FALSE))))*VLOOKUP($S$5, SALES_CALL_SCALE_ARRAY, 2,FALSE),0.25)</f>
        <v/>
      </c>
      <c r="T192" s="116" t="n"/>
      <c r="U192" s="17" t="n">
        <v>0</v>
      </c>
      <c r="V192" s="17" t="n">
        <v>1</v>
      </c>
      <c r="W192" s="17" t="n">
        <v>0</v>
      </c>
      <c r="X192" s="115" t="n">
        <v>1</v>
      </c>
      <c r="Y192" s="230">
        <f>CEILING((IF(P192=AS_DEV_EFFORT, DEV_EFFORT*Q192%,
                           IF(P192=AS_DURATION_EFFORT, (MANUAL_DURATION*5)*Q192%,
                                    (IF(Q192&lt;=1,X192,
                                          IF(SUM(U192:W192)=0,(Q192*X192),
                                               (((Q192*U192)*(X192+(X192*EXTRA_FOR_H)))+
                                               ((Q192*V192)*X192)+
                                               ((Q192*W192)*(X192-(X192*LESS_FOR_L)))
                                    )*IF(R192=0,1,R192))))))+Z192), 0.25)</f>
        <v/>
      </c>
      <c r="Z192" s="18" t="n"/>
      <c r="AA192" s="230">
        <f>Y192+Y192*VLOOKUP(I192,EXTRAS_ARRAY,2,FALSE)</f>
        <v/>
      </c>
      <c r="AB192" s="16" t="inlineStr">
        <is>
          <t>End-user manual: account, orders, coupons, checkout, search filters and email notifications (1 PD).</t>
        </is>
      </c>
      <c r="AC192" s="29" t="n"/>
      <c r="AD192" s="226">
        <f>IF(J192&lt;&gt;"Yes",
IF(S192&lt;=0,"Error: Effort value is not defined or is invalid.",
IF(AND(SUM(U192:W192)&gt;0,SUM(U192:W192)&lt;&gt;1),"Error: Complexity % distribution should sum to 100%.",
IF(AND(P192=AS_DEV_EFFORT,X192&lt;&gt;0),"Error: PDs should not be defined when defining as dev effort %.",
IF(AND(P192=AS_DURATION_EFFORT,X192&lt;&gt;0),"Error: PDs should not be defined when defining as duration effort %.","")))))</f>
        <v/>
      </c>
    </row>
    <row r="193" hidden="1" outlineLevel="2" ht="43.5" customHeight="1" s="337">
      <c r="A193" s="212" t="inlineStr">
        <is>
          <t>A</t>
        </is>
      </c>
      <c r="B193" s="14" t="n"/>
      <c r="C193" s="62" t="n"/>
      <c r="D193" s="62" t="n"/>
      <c r="E193" s="62" t="n"/>
      <c r="F193" s="63" t="n"/>
      <c r="G193" s="15" t="inlineStr">
        <is>
          <t>-</t>
        </is>
      </c>
      <c r="H193" s="15" t="inlineStr">
        <is>
          <t>-</t>
        </is>
      </c>
      <c r="I193" s="16" t="inlineStr">
        <is>
          <t>-</t>
        </is>
      </c>
      <c r="J193" s="15" t="inlineStr">
        <is>
          <t>-</t>
        </is>
      </c>
      <c r="K193" s="30" t="n"/>
      <c r="L193" s="15" t="n"/>
      <c r="M193" s="229">
        <f>IFERROR(OFFSET(M193,-1,,1,1)+0.1,OFFSET(M193,-1,-1,1,1)&amp;".1")</f>
        <v/>
      </c>
      <c r="N193" s="16" t="inlineStr">
        <is>
          <t>Train the trainer sessions</t>
        </is>
      </c>
      <c r="O193" s="16" t="n"/>
      <c r="P193" s="16" t="n"/>
      <c r="Q193" s="100" t="n">
        <v>1</v>
      </c>
      <c r="R193" s="95" t="n"/>
      <c r="S193" s="230">
        <f>CEILING((IF(J193="Yes", 0, IF(H193="-",AA193,AA193+AA193*VLOOKUP(H193,BUFFERS_BY_TYPE,2,FALSE)))) +
   (IF(J193="Yes", 0, IF(H193="-",AA193,AA193+AA193*VLOOKUP(H193,BUFFERS_BY_TYPE,2,FALSE))))*VLOOKUP($S$5, SALES_CALL_SCALE_ARRAY, 2,FALSE),0.25)</f>
        <v/>
      </c>
      <c r="T193" s="116" t="n"/>
      <c r="U193" s="17" t="n">
        <v>0</v>
      </c>
      <c r="V193" s="17" t="n">
        <v>1</v>
      </c>
      <c r="W193" s="17" t="n">
        <v>0</v>
      </c>
      <c r="X193" s="115" t="n">
        <v>1</v>
      </c>
      <c r="Y193" s="230">
        <f>CEILING((IF(P193=AS_DEV_EFFORT, DEV_EFFORT*Q193%,
                           IF(P193=AS_DURATION_EFFORT, (MANUAL_DURATION*5)*Q193%,
                                    (IF(Q193&lt;=1,X193,
                                          IF(SUM(U193:W193)=0,(Q193*X193),
                                               (((Q193*U193)*(X193+(X193*EXTRA_FOR_H)))+
                                               ((Q193*V193)*X193)+
                                               ((Q193*W193)*(X193-(X193*LESS_FOR_L)))
                                    )*IF(R193=0,1,R193))))))+Z193), 0.25)</f>
        <v/>
      </c>
      <c r="Z193" s="18" t="n"/>
      <c r="AA193" s="230">
        <f>Y193+Y193*VLOOKUP(I193,EXTRAS_ARRAY,2,FALSE)</f>
        <v/>
      </c>
      <c r="AB193" s="16" t="inlineStr">
        <is>
          <t>Train-the-trainer sessions for client champions (1 PD).</t>
        </is>
      </c>
      <c r="AC193" s="29" t="n"/>
      <c r="AD193" s="226">
        <f>IF(J193&lt;&gt;"Yes",
IF(S193&lt;=0,"Error: Effort value is not defined or is invalid.",
IF(AND(SUM(U193:W193)&gt;0,SUM(U193:W193)&lt;&gt;1),"Error: Complexity % distribution should sum to 100%.",
IF(AND(P193=AS_DEV_EFFORT,X193&lt;&gt;0),"Error: PDs should not be defined when defining as dev effort %.",
IF(AND(P193=AS_DURATION_EFFORT,X193&lt;&gt;0),"Error: PDs should not be defined when defining as duration effort %.","")))))</f>
        <v/>
      </c>
    </row>
    <row r="194" hidden="1" outlineLevel="2" ht="7.5" customFormat="1" customHeight="1" s="294">
      <c r="A194" s="212" t="inlineStr">
        <is>
          <t>T3</t>
        </is>
      </c>
      <c r="B194" s="12" t="n"/>
      <c r="C194" s="56" t="n"/>
      <c r="D194" s="56" t="n"/>
      <c r="E194" s="56" t="n"/>
      <c r="F194" s="56" t="n"/>
      <c r="M194" s="180" t="n"/>
      <c r="T194" s="12" t="n"/>
      <c r="X194" s="12" t="n"/>
      <c r="AB194" s="7" t="n"/>
      <c r="AC194" s="7" t="n"/>
      <c r="AD194" s="7" t="n"/>
    </row>
    <row r="195" outlineLevel="1" ht="3" customFormat="1" customHeight="1" s="294">
      <c r="A195" s="212" t="inlineStr">
        <is>
          <t>S3</t>
        </is>
      </c>
      <c r="C195" s="56" t="n"/>
      <c r="D195" s="56" t="n"/>
      <c r="E195" s="56" t="n"/>
      <c r="F195" s="56" t="n"/>
      <c r="G195" s="21" t="n"/>
      <c r="H195" s="21" t="n"/>
      <c r="I195" s="21" t="n"/>
      <c r="J195" s="21" t="n"/>
      <c r="K195" s="21" t="n"/>
      <c r="L195" s="48" t="n"/>
      <c r="M195" s="189" t="n"/>
      <c r="N195" s="49" t="n"/>
      <c r="O195" s="49" t="n"/>
      <c r="P195" s="48" t="n"/>
      <c r="Q195" s="48" t="n"/>
      <c r="R195" s="48" t="n"/>
      <c r="S195" s="48" t="n"/>
      <c r="T195" s="48" t="n"/>
      <c r="U195" s="48" t="n"/>
      <c r="V195" s="48" t="n"/>
      <c r="W195" s="48" t="n"/>
      <c r="X195" s="48" t="n"/>
      <c r="Y195" s="48" t="n"/>
      <c r="Z195" s="48" t="n"/>
      <c r="AA195" s="48" t="n"/>
      <c r="AB195" s="49" t="n"/>
      <c r="AC195" s="49" t="n"/>
      <c r="AD195" s="7" t="n"/>
    </row>
    <row r="196" collapsed="1" ht="18.5" customFormat="1" customHeight="1" s="298">
      <c r="A196" s="212" t="inlineStr">
        <is>
          <t>S1</t>
        </is>
      </c>
      <c r="B196" s="9" t="n"/>
      <c r="C196" s="57" t="n"/>
      <c r="D196" s="57" t="n"/>
      <c r="E196" s="57" t="n"/>
      <c r="F196" s="56" t="n"/>
      <c r="G196" s="44" t="n"/>
      <c r="H196" s="44" t="n"/>
      <c r="I196" s="44" t="n"/>
      <c r="J196" s="44" t="n"/>
      <c r="K196" s="44" t="n"/>
      <c r="L196" s="44" t="inlineStr">
        <is>
          <t>F</t>
        </is>
      </c>
      <c r="M196" s="187" t="inlineStr">
        <is>
          <t>Others</t>
        </is>
      </c>
      <c r="N196" s="45" t="n"/>
      <c r="O196" s="46" t="n"/>
      <c r="P196" s="47" t="n"/>
      <c r="Q196" s="47" t="n"/>
      <c r="R196" s="47" t="n"/>
      <c r="S196" s="353">
        <f>CEILING(SUMIF(J197:J202, "&lt;&gt;Yes", T197:T202),1)</f>
        <v/>
      </c>
      <c r="T196" s="302" t="n"/>
      <c r="U196" s="47" t="n"/>
      <c r="V196" s="47" t="n"/>
      <c r="W196" s="47" t="n"/>
      <c r="X196" s="47" t="n"/>
      <c r="Y196" s="47" t="n"/>
      <c r="Z196" s="47" t="n"/>
      <c r="AA196" s="47" t="n"/>
      <c r="AB196" s="47" t="n"/>
      <c r="AC196" s="47" t="n"/>
      <c r="AD196" s="10" t="n"/>
    </row>
    <row r="197" hidden="1" outlineLevel="1" ht="3" customFormat="1" customHeight="1" s="294">
      <c r="A197" s="212" t="inlineStr">
        <is>
          <t>S2</t>
        </is>
      </c>
      <c r="B197" s="12" t="n"/>
      <c r="C197" s="56" t="n"/>
      <c r="D197" s="56" t="n"/>
      <c r="E197" s="56" t="n"/>
      <c r="F197" s="56" t="n"/>
      <c r="G197" s="21" t="n"/>
      <c r="H197" s="21" t="n"/>
      <c r="I197" s="21" t="n"/>
      <c r="J197" s="21" t="n"/>
      <c r="K197" s="21" t="n"/>
      <c r="L197" s="53" t="n">
        <v>0</v>
      </c>
      <c r="M197" s="188" t="n"/>
      <c r="N197" s="21" t="n"/>
      <c r="O197" s="21" t="n"/>
      <c r="P197" s="21" t="n"/>
      <c r="Q197" s="21" t="n"/>
      <c r="R197" s="21" t="n"/>
      <c r="S197" s="21" t="n"/>
      <c r="T197" s="22" t="n"/>
      <c r="U197" s="21" t="n"/>
      <c r="V197" s="21" t="n"/>
      <c r="W197" s="21" t="n"/>
      <c r="X197" s="22" t="n"/>
      <c r="Y197" s="21" t="n"/>
      <c r="Z197" s="21" t="n"/>
      <c r="AA197" s="21" t="n"/>
      <c r="AB197" s="23" t="n"/>
      <c r="AC197" s="23" t="n"/>
      <c r="AD197" s="7" t="n"/>
    </row>
    <row r="198" hidden="1" outlineLevel="1" collapsed="1" ht="15.5" customFormat="1" customHeight="1" s="298">
      <c r="A198" s="212" t="inlineStr">
        <is>
          <t>T1</t>
        </is>
      </c>
      <c r="B198" s="14" t="n"/>
      <c r="C198" s="61" t="n"/>
      <c r="D198" s="61" t="n"/>
      <c r="E198" s="61" t="n"/>
      <c r="F198" s="60" t="n"/>
      <c r="G198" s="24" t="n"/>
      <c r="H198" s="24" t="n"/>
      <c r="I198" s="24" t="n"/>
      <c r="J198" s="24" t="n"/>
      <c r="K198" s="24" t="n"/>
      <c r="L198" s="223">
        <f>LOOKUP(1000,INDIRECT("L1:"&amp;CELL("address",INDIRECT("R[-1]C",FALSE))))+1</f>
        <v/>
      </c>
      <c r="M198" s="301" t="inlineStr">
        <is>
          <t>PM Effort</t>
        </is>
      </c>
      <c r="N198" s="302" t="n"/>
      <c r="O198" s="4" t="n"/>
      <c r="P198" s="25" t="n"/>
      <c r="Q198" s="25" t="n"/>
      <c r="R198" s="25" t="n"/>
      <c r="S198" s="25" t="n"/>
      <c r="T198" s="225">
        <f>IF($S$6="Exclude", SUMIFS(S199:S201, J199:J201, "&lt;&gt;Yes", G199:G201, "&lt;&gt;Yes"), SUMIFS(S199:S201, J199:J201, "&lt;&gt;Yes"))</f>
        <v/>
      </c>
      <c r="U198" s="25" t="n"/>
      <c r="V198" s="25" t="n"/>
      <c r="W198" s="25" t="n"/>
      <c r="X198" s="26" t="n"/>
      <c r="Y198" s="27" t="n"/>
      <c r="Z198" s="27" t="n"/>
      <c r="AA198" s="27" t="n"/>
      <c r="AB198" s="155" t="n"/>
      <c r="AC198" s="28" t="n"/>
      <c r="AD198" s="226">
        <f>IF(M198="", "Error: Task name cannot be empty.", "")</f>
        <v/>
      </c>
    </row>
    <row r="199" hidden="1" outlineLevel="2" ht="1.5" customFormat="1" customHeight="1" s="9">
      <c r="A199" s="212" t="inlineStr">
        <is>
          <t>T2</t>
        </is>
      </c>
      <c r="B199" s="14" t="n"/>
      <c r="C199" s="61" t="n"/>
      <c r="D199" s="61" t="n"/>
      <c r="E199" s="61" t="n"/>
      <c r="F199" s="60" t="n"/>
      <c r="G199" s="24" t="n"/>
      <c r="H199" s="24" t="n"/>
      <c r="I199" s="24" t="n"/>
      <c r="J199" s="24" t="n"/>
      <c r="K199" s="24" t="n"/>
      <c r="L199" s="227">
        <f>L198</f>
        <v/>
      </c>
      <c r="M199" s="228" t="inlineStr">
        <is>
          <t>X</t>
        </is>
      </c>
      <c r="N199" s="118" t="n"/>
      <c r="O199" s="119" t="n"/>
      <c r="P199" s="25" t="n"/>
      <c r="Q199" s="25" t="n"/>
      <c r="R199" s="25" t="n"/>
      <c r="S199" s="25" t="n"/>
      <c r="T199" s="114" t="n"/>
      <c r="U199" s="25" t="n"/>
      <c r="V199" s="25" t="n"/>
      <c r="W199" s="25" t="n"/>
      <c r="X199" s="26" t="n"/>
      <c r="Y199" s="27" t="n"/>
      <c r="Z199" s="27" t="n"/>
      <c r="AA199" s="27" t="n"/>
      <c r="AB199" s="28" t="n"/>
      <c r="AC199" s="28" t="n"/>
      <c r="AD199" s="19" t="n"/>
    </row>
    <row r="200" hidden="1" outlineLevel="2" ht="15.5" customHeight="1" s="337">
      <c r="A200" s="212" t="inlineStr">
        <is>
          <t>A</t>
        </is>
      </c>
      <c r="B200" s="14" t="n"/>
      <c r="C200" s="62" t="n"/>
      <c r="D200" s="62" t="n"/>
      <c r="E200" s="62" t="n"/>
      <c r="F200" s="63" t="n"/>
      <c r="G200" s="15" t="inlineStr">
        <is>
          <t>-</t>
        </is>
      </c>
      <c r="H200" s="15" t="inlineStr">
        <is>
          <t>-</t>
        </is>
      </c>
      <c r="I200" s="16" t="inlineStr">
        <is>
          <t>-</t>
        </is>
      </c>
      <c r="J200" s="15" t="inlineStr">
        <is>
          <t>-</t>
        </is>
      </c>
      <c r="K200" s="30" t="n"/>
      <c r="L200" s="15" t="n"/>
      <c r="M200" s="229">
        <f>IFERROR(OFFSET(M200,-1,,1,1)+0.1,OFFSET(M200,-1,-1,1,1)&amp;".1")</f>
        <v/>
      </c>
      <c r="N200" s="16" t="inlineStr">
        <is>
          <t>Project management effort</t>
        </is>
      </c>
      <c r="O200" s="16" t="inlineStr">
        <is>
          <t>Percentage</t>
        </is>
      </c>
      <c r="P200" s="179" t="n">
        <v>0.1</v>
      </c>
      <c r="Q200" s="100" t="n"/>
      <c r="R200" s="95" t="n"/>
      <c r="S200" s="230">
        <f>CEILING((IF(J200="Yes", 0, IF(H200="-",AA200,AA200+AA200*VLOOKUP(H200,BUFFERS_BY_TYPE,2,FALSE)))) +
   (IF(J200="Yes", 0, IF(H200="-",AA200,AA200+AA200*VLOOKUP(H200,BUFFERS_BY_TYPE,2,FALSE))))*VLOOKUP($S$5, SALES_CALL_SCALE_ARRAY, 2,FALSE),0.25)</f>
        <v/>
      </c>
      <c r="T200" s="116" t="n"/>
      <c r="U200" s="17" t="n">
        <v>0</v>
      </c>
      <c r="V200" s="17" t="n">
        <v>1</v>
      </c>
      <c r="W200" s="17" t="n">
        <v>0</v>
      </c>
      <c r="X200" s="115">
        <f>(REQ_EFFORT+DESIGN_EFFORT+DEV_EFFORT+QA_EFFORT+UAT_EFFORT) * P200</f>
        <v/>
      </c>
      <c r="Y200" s="230">
        <f>CEILING((IF(P200=AS_DEV_EFFORT, DEV_EFFORT*Q200%,
                           IF(P200=AS_DURATION_EFFORT, (MANUAL_DURATION*5)*Q200%,
                                    (IF(Q200&lt;=1,X200,
                                          IF(SUM(U200:W200)=0,(Q200*X200),
                                               (((Q200*U200)*(X200+(X200*EXTRA_FOR_H)))+
                                               ((Q200*V200)*X200)+
                                               ((Q200*W200)*(X200-(X200*LESS_FOR_L)))
                                    )*IF(R200=0,1,R200))))))+Z200), 0.25)</f>
        <v/>
      </c>
      <c r="Z200" s="18" t="n"/>
      <c r="AA200" s="230">
        <f>Y200+Y200*VLOOKUP(I200,EXTRAS_ARRAY,2,FALSE)</f>
        <v/>
      </c>
      <c r="AB200" s="16" t="inlineStr">
        <is>
          <t>PM effort auto-computed at 10% of (REQ+DESIGN+DEV+QA+UAT) effort via the inbuilt formula in X200.</t>
        </is>
      </c>
      <c r="AC200" s="29" t="n"/>
      <c r="AD200" s="226">
        <f>IF(J200&lt;&gt;"Yes",
IF(S200&lt;=0,"Error: Effort value is not defined or is invalid.",
IF(AND(SUM(U200:W200)&gt;0,SUM(U200:W200)&lt;&gt;1),"Error: Complexity % distribution should sum to 100%.",
IF(AND(P200=AS_DEV_EFFORT,X200&lt;&gt;0),"Error: PDs should not be defined when defining as dev effort %.",
IF(AND(P200=AS_DURATION_EFFORT,X200&lt;&gt;0),"Error: PDs should not be defined when defining as duration effort %.","")))))</f>
        <v/>
      </c>
    </row>
    <row r="201" hidden="1" outlineLevel="2" ht="7.5" customFormat="1" customHeight="1" s="294">
      <c r="A201" s="212" t="inlineStr">
        <is>
          <t>T3</t>
        </is>
      </c>
      <c r="B201" s="12" t="n"/>
      <c r="C201" s="56" t="n"/>
      <c r="D201" s="56" t="n"/>
      <c r="E201" s="56" t="n"/>
      <c r="F201" s="56" t="n"/>
      <c r="M201" s="180" t="n"/>
      <c r="T201" s="12" t="n"/>
      <c r="X201" s="12" t="n"/>
      <c r="AB201" s="7" t="n"/>
      <c r="AC201" s="7" t="n"/>
      <c r="AD201" s="7" t="n"/>
    </row>
    <row r="202" hidden="1" outlineLevel="1" ht="3" customFormat="1" customHeight="1" s="294">
      <c r="A202" s="212" t="inlineStr">
        <is>
          <t>S3</t>
        </is>
      </c>
      <c r="C202" s="56" t="n"/>
      <c r="D202" s="56" t="n"/>
      <c r="E202" s="56" t="n"/>
      <c r="F202" s="56" t="n"/>
      <c r="G202" s="21" t="n"/>
      <c r="H202" s="21" t="n"/>
      <c r="I202" s="21" t="n"/>
      <c r="J202" s="21" t="n"/>
      <c r="K202" s="21" t="n"/>
      <c r="L202" s="48" t="n"/>
      <c r="M202" s="189" t="n"/>
      <c r="N202" s="49" t="n"/>
      <c r="O202" s="49" t="n"/>
      <c r="P202" s="48" t="n"/>
      <c r="Q202" s="48" t="n"/>
      <c r="R202" s="48" t="n"/>
      <c r="S202" s="48" t="n"/>
      <c r="T202" s="48" t="n"/>
      <c r="U202" s="48" t="n"/>
      <c r="V202" s="48" t="n"/>
      <c r="W202" s="48" t="n"/>
      <c r="X202" s="48" t="n"/>
      <c r="Y202" s="48" t="n"/>
      <c r="Z202" s="48" t="n"/>
      <c r="AA202" s="48" t="n"/>
      <c r="AB202" s="49" t="n"/>
      <c r="AC202" s="49" t="n"/>
      <c r="AD202" s="7" t="n"/>
    </row>
    <row r="203" ht="20.25" customFormat="1" customHeight="1" s="294">
      <c r="A203" s="212" t="inlineStr">
        <is>
          <t>W2</t>
        </is>
      </c>
      <c r="C203" s="56" t="n"/>
      <c r="D203" s="56" t="n"/>
      <c r="E203" s="56" t="n"/>
      <c r="F203" s="56" t="n"/>
      <c r="G203" s="35" t="n"/>
      <c r="H203" s="35" t="n"/>
      <c r="I203" s="35" t="n"/>
      <c r="J203" s="35" t="n"/>
      <c r="K203" s="35" t="n"/>
      <c r="L203" s="102" t="n"/>
      <c r="M203" s="185" t="n"/>
      <c r="N203" s="35" t="n"/>
      <c r="O203" s="35" t="n"/>
      <c r="P203" s="35" t="n"/>
      <c r="Q203" s="35" t="n"/>
      <c r="R203" s="35" t="n"/>
      <c r="S203" s="354">
        <f>TOTAL_EFFORT</f>
        <v/>
      </c>
      <c r="T203" s="302" t="n"/>
      <c r="U203" s="35" t="n"/>
      <c r="V203" s="35" t="n"/>
      <c r="W203" s="35" t="n"/>
      <c r="X203" s="35" t="n"/>
      <c r="Y203" s="35" t="n"/>
      <c r="Z203" s="35" t="n"/>
      <c r="AA203" s="35" t="n"/>
      <c r="AB203" s="101" t="n"/>
      <c r="AC203" s="35" t="n"/>
      <c r="AD203" s="7" t="n"/>
    </row>
    <row r="204" customFormat="1" s="294">
      <c r="A204" s="70" t="n"/>
      <c r="C204" s="58" t="n"/>
      <c r="D204" s="58" t="n"/>
      <c r="E204" s="58" t="n"/>
      <c r="F204" s="56" t="n"/>
      <c r="M204" s="180" t="n"/>
      <c r="N204" s="7" t="n"/>
      <c r="O204" s="7" t="n"/>
      <c r="AB204" s="7" t="n"/>
      <c r="AC204" s="7" t="n"/>
      <c r="AD204" s="7" t="n"/>
    </row>
    <row r="205" ht="20.25" customFormat="1" customHeight="1" s="294">
      <c r="A205" s="70" t="n"/>
      <c r="C205" s="56" t="n"/>
      <c r="D205" s="56" t="n"/>
      <c r="E205" s="56" t="n"/>
      <c r="F205" s="56" t="n"/>
      <c r="G205" s="293" t="inlineStr">
        <is>
          <t>Notes</t>
        </is>
      </c>
      <c r="H205" s="302" t="n"/>
      <c r="I205" s="120" t="n"/>
      <c r="J205" s="35" t="n"/>
      <c r="K205" s="35" t="n"/>
      <c r="L205" s="31" t="n"/>
      <c r="M205" s="231" t="inlineStr">
        <is>
          <t>Functional Breakdown Summary</t>
        </is>
      </c>
      <c r="N205" s="31" t="n"/>
      <c r="O205" s="31" t="n"/>
      <c r="P205" s="31" t="n"/>
      <c r="Q205" s="31" t="n"/>
      <c r="R205" s="31" t="n"/>
      <c r="S205" s="31" t="n"/>
      <c r="T205" s="31" t="n"/>
      <c r="U205" s="31" t="n"/>
      <c r="V205" s="31" t="n"/>
      <c r="W205" s="31" t="n"/>
      <c r="X205" s="31" t="n"/>
      <c r="Y205" s="31" t="n"/>
      <c r="Z205" s="31" t="n"/>
      <c r="AA205" s="31" t="n"/>
      <c r="AB205" s="31" t="n"/>
      <c r="AC205" s="31" t="n"/>
      <c r="AD205" s="7" t="n"/>
    </row>
    <row r="206" outlineLevel="1" customFormat="1" s="294">
      <c r="A206" s="70" t="n"/>
      <c r="C206" s="58" t="n"/>
      <c r="D206" s="58" t="n"/>
      <c r="E206" s="58" t="n"/>
      <c r="F206" s="56" t="n"/>
      <c r="G206" s="21" t="n"/>
      <c r="H206" s="21" t="n"/>
      <c r="I206" s="21" t="n"/>
      <c r="J206" s="21" t="n"/>
      <c r="K206" s="21" t="n"/>
      <c r="L206" s="21" t="n"/>
      <c r="M206" s="188" t="n"/>
      <c r="N206" s="23" t="n"/>
      <c r="O206" s="23" t="n"/>
      <c r="P206" s="21" t="n"/>
      <c r="Q206" s="21" t="n"/>
      <c r="R206" s="21" t="n"/>
      <c r="S206" s="21" t="n"/>
      <c r="T206" s="21" t="n"/>
      <c r="U206" s="21" t="n"/>
      <c r="V206" s="21" t="n"/>
      <c r="W206" s="21" t="n"/>
      <c r="X206" s="21" t="n"/>
      <c r="Y206" s="21" t="n"/>
      <c r="Z206" s="21" t="n"/>
      <c r="AA206" s="21" t="n"/>
      <c r="AB206" s="23" t="n"/>
      <c r="AC206" s="23" t="n"/>
      <c r="AD206" s="7" t="n"/>
    </row>
    <row r="207" outlineLevel="1" ht="15" customFormat="1" customHeight="1" s="294">
      <c r="A207" s="70" t="n"/>
      <c r="C207" s="58" t="n"/>
      <c r="D207" s="58" t="n"/>
      <c r="E207" s="58" t="n"/>
      <c r="F207" s="56" t="n"/>
      <c r="G207" s="21" t="n"/>
      <c r="H207" s="21" t="n"/>
      <c r="I207" s="21" t="n"/>
      <c r="J207" s="21" t="n"/>
      <c r="K207" s="21" t="n"/>
      <c r="L207" s="21" t="n"/>
      <c r="M207" s="323" t="inlineStr">
        <is>
          <t xml:space="preserve">Functional breakdown summary shows complete list of development tasks and modules and adds % based effort from all other phases into each task. This gets the complete costing and effort per development task. </t>
        </is>
      </c>
      <c r="N207" s="302" t="n"/>
      <c r="O207" s="302" t="n"/>
      <c r="P207" s="302" t="n"/>
      <c r="Q207" s="302" t="n"/>
      <c r="R207" s="302" t="n"/>
      <c r="S207" s="302" t="n"/>
      <c r="T207" s="302" t="n"/>
      <c r="U207" s="23" t="n"/>
      <c r="V207" s="23" t="n"/>
      <c r="W207" s="23" t="n"/>
      <c r="X207" s="21" t="n"/>
      <c r="Y207" s="21" t="n"/>
      <c r="Z207" s="21" t="n"/>
      <c r="AA207" s="21" t="n"/>
      <c r="AB207" s="23" t="n"/>
      <c r="AC207" s="23" t="n"/>
      <c r="AD207" s="7" t="n"/>
    </row>
    <row r="208" outlineLevel="1" customFormat="1" s="294">
      <c r="A208" s="70" t="n"/>
      <c r="C208" s="58" t="n"/>
      <c r="D208" s="58" t="n"/>
      <c r="E208" s="58" t="n"/>
      <c r="F208" s="56" t="n"/>
      <c r="G208" s="21" t="n"/>
      <c r="H208" s="21" t="n"/>
      <c r="I208" s="21" t="n"/>
      <c r="J208" s="21" t="n"/>
      <c r="K208" s="21" t="n"/>
      <c r="L208" s="21" t="n"/>
      <c r="M208" s="302" t="n"/>
      <c r="N208" s="302" t="n"/>
      <c r="O208" s="302" t="n"/>
      <c r="P208" s="302" t="n"/>
      <c r="Q208" s="302" t="n"/>
      <c r="R208" s="302" t="n"/>
      <c r="S208" s="302" t="n"/>
      <c r="T208" s="302" t="n"/>
      <c r="U208" s="23" t="n"/>
      <c r="V208" s="23" t="n"/>
      <c r="W208" s="23" t="n"/>
      <c r="X208" s="21" t="n"/>
      <c r="Y208" s="21" t="n"/>
      <c r="Z208" s="21" t="n"/>
      <c r="AA208" s="21" t="n"/>
      <c r="AB208" s="23" t="n"/>
      <c r="AC208" s="23" t="n"/>
      <c r="AD208" s="7" t="n"/>
    </row>
    <row r="209" outlineLevel="1" ht="3.75" customFormat="1" customHeight="1" s="294">
      <c r="A209" s="70" t="n"/>
      <c r="C209" s="58" t="n"/>
      <c r="D209" s="58" t="n"/>
      <c r="E209" s="58" t="n"/>
      <c r="F209" s="56" t="n"/>
      <c r="G209" s="21" t="n"/>
      <c r="H209" s="21" t="n"/>
      <c r="I209" s="21" t="n"/>
      <c r="J209" s="21" t="n"/>
      <c r="K209" s="21" t="n"/>
      <c r="L209" s="21" t="n"/>
      <c r="M209" s="188" t="n"/>
      <c r="N209" s="23" t="n"/>
      <c r="O209" s="23" t="n"/>
      <c r="P209" s="21" t="n"/>
      <c r="Q209" s="21" t="n"/>
      <c r="R209" s="21" t="n"/>
      <c r="S209" s="21" t="n"/>
      <c r="T209" s="21" t="n"/>
      <c r="U209" s="21" t="n"/>
      <c r="V209" s="21" t="n"/>
      <c r="W209" s="21" t="n"/>
      <c r="X209" s="21" t="n"/>
      <c r="Y209" s="21" t="n"/>
      <c r="Z209" s="21" t="n"/>
      <c r="AA209" s="21" t="n"/>
      <c r="AB209" s="23" t="n"/>
      <c r="AC209" s="23" t="n"/>
      <c r="AD209" s="7" t="n"/>
    </row>
    <row r="210" outlineLevel="1" ht="15.5" customFormat="1" customHeight="1" s="294">
      <c r="A210" s="70" t="n"/>
      <c r="C210" s="58" t="n"/>
      <c r="D210" s="58" t="n"/>
      <c r="E210" s="58" t="n"/>
      <c r="F210" s="56" t="n"/>
      <c r="G210" s="21" t="n"/>
      <c r="H210" s="21" t="n"/>
      <c r="I210" s="21" t="n"/>
      <c r="J210" s="21" t="n"/>
      <c r="K210" s="21" t="n"/>
      <c r="L210" s="21" t="n"/>
      <c r="M210" s="232" t="inlineStr">
        <is>
          <t>#</t>
        </is>
      </c>
      <c r="N210" s="233" t="inlineStr">
        <is>
          <t>Name</t>
        </is>
      </c>
      <c r="O210" s="234" t="inlineStr">
        <is>
          <t>Effort (PDs)</t>
        </is>
      </c>
      <c r="P210" s="235">
        <f>"Cost ("&amp;CHOSEN_CURRENCY&amp;")"</f>
        <v/>
      </c>
      <c r="Q210" s="21" t="n"/>
      <c r="R210" s="236" t="inlineStr">
        <is>
          <t>Format:</t>
        </is>
      </c>
      <c r="S210" s="50" t="inlineStr">
        <is>
          <t>Default</t>
        </is>
      </c>
      <c r="T210" s="237" t="inlineStr">
        <is>
          <t>Generate</t>
        </is>
      </c>
      <c r="U210" s="21" t="n"/>
      <c r="V210" s="21" t="n"/>
      <c r="W210" s="21" t="n"/>
      <c r="X210" s="21" t="n"/>
      <c r="Y210" s="21" t="n"/>
      <c r="Z210" s="21" t="n"/>
      <c r="AA210" s="21" t="n"/>
      <c r="AB210" s="23" t="n"/>
      <c r="AC210" s="23" t="n"/>
      <c r="AD210" s="7" t="n"/>
    </row>
    <row r="211" outlineLevel="1" ht="3" customFormat="1" customHeight="1" s="294">
      <c r="A211" s="70" t="n"/>
      <c r="C211" s="58" t="n"/>
      <c r="D211" s="58" t="n"/>
      <c r="E211" s="58" t="n"/>
      <c r="F211" s="56" t="n"/>
      <c r="G211" s="21" t="n"/>
      <c r="H211" s="21" t="n"/>
      <c r="I211" s="21" t="n"/>
      <c r="J211" s="21" t="n"/>
      <c r="K211" s="21" t="n"/>
      <c r="L211" s="21" t="n"/>
      <c r="M211" s="190" t="n"/>
      <c r="N211" s="173" t="n"/>
      <c r="O211" s="173" t="n"/>
      <c r="P211" s="172" t="n"/>
      <c r="Q211" s="21" t="n"/>
      <c r="R211" s="21" t="n"/>
      <c r="S211" s="21" t="n"/>
      <c r="T211" s="21" t="n"/>
      <c r="U211" s="21" t="n"/>
      <c r="V211" s="21" t="n"/>
      <c r="W211" s="21" t="n"/>
      <c r="X211" s="21" t="n"/>
      <c r="Y211" s="21" t="n"/>
      <c r="Z211" s="21" t="n"/>
      <c r="AA211" s="21" t="n"/>
      <c r="AB211" s="23" t="n"/>
      <c r="AC211" s="23" t="n"/>
      <c r="AD211" s="7" t="n"/>
    </row>
    <row r="212" outlineLevel="1" customFormat="1" s="294">
      <c r="A212" s="70" t="n"/>
      <c r="C212" s="58" t="n"/>
      <c r="D212" s="58" t="n"/>
      <c r="E212" s="58" t="n"/>
      <c r="F212" s="56" t="n"/>
      <c r="G212" s="21" t="n"/>
      <c r="H212" s="21" t="n"/>
      <c r="I212" s="21" t="n"/>
      <c r="J212" s="21" t="n"/>
      <c r="K212" s="21" t="n"/>
      <c r="L212" s="21" t="n"/>
      <c r="M212" s="188" t="n"/>
      <c r="N212" s="23" t="n"/>
      <c r="O212" s="23" t="n"/>
      <c r="P212" s="21" t="n"/>
      <c r="Q212" s="21" t="n"/>
      <c r="R212" s="21" t="n"/>
      <c r="S212" s="21" t="n"/>
      <c r="T212" s="21" t="n"/>
      <c r="U212" s="21" t="n"/>
      <c r="V212" s="21" t="n"/>
      <c r="W212" s="21" t="n"/>
      <c r="X212" s="21" t="n"/>
      <c r="Y212" s="21" t="n"/>
      <c r="Z212" s="21" t="n"/>
      <c r="AA212" s="21" t="n"/>
      <c r="AB212" s="23" t="n"/>
      <c r="AC212" s="23" t="n"/>
      <c r="AD212" s="7" t="n"/>
    </row>
    <row r="213" outlineLevel="1" customFormat="1" s="294">
      <c r="A213" s="70" t="n"/>
      <c r="C213" s="58" t="n"/>
      <c r="D213" s="58" t="n"/>
      <c r="E213" s="58" t="n"/>
      <c r="F213" s="56" t="n"/>
      <c r="G213" s="21" t="n"/>
      <c r="H213" s="21" t="n"/>
      <c r="I213" s="21" t="n"/>
      <c r="J213" s="21" t="n"/>
      <c r="K213" s="21" t="n"/>
      <c r="L213" s="21" t="n"/>
      <c r="M213" s="188" t="n"/>
      <c r="N213" s="23" t="n"/>
      <c r="O213" s="23" t="n"/>
      <c r="P213" s="21" t="n"/>
      <c r="Q213" s="21" t="n"/>
      <c r="R213" s="21" t="n"/>
      <c r="S213" s="21" t="n"/>
      <c r="T213" s="21" t="n"/>
      <c r="U213" s="21" t="n"/>
      <c r="V213" s="21" t="n"/>
      <c r="W213" s="21" t="n"/>
      <c r="X213" s="21" t="n"/>
      <c r="Y213" s="21" t="n"/>
      <c r="Z213" s="21" t="n"/>
      <c r="AA213" s="21" t="n"/>
      <c r="AB213" s="23" t="n"/>
      <c r="AC213" s="23" t="n"/>
      <c r="AD213" s="7" t="n"/>
    </row>
    <row r="214" outlineLevel="1" ht="16" customFormat="1" customHeight="1" s="294">
      <c r="A214" s="70" t="n"/>
      <c r="C214" s="58" t="n"/>
      <c r="D214" s="58" t="n"/>
      <c r="E214" s="58" t="n"/>
      <c r="F214" s="56" t="n"/>
      <c r="G214" s="21" t="n"/>
      <c r="H214" s="21" t="n"/>
      <c r="I214" s="21" t="n"/>
      <c r="J214" s="21" t="n"/>
      <c r="K214" s="21" t="n"/>
      <c r="L214" s="21" t="n"/>
      <c r="M214" s="192" t="inlineStr">
        <is>
          <t>1</t>
        </is>
      </c>
      <c r="N214" s="51" t="inlineStr">
        <is>
          <t>Development environment &amp; team ramp-up</t>
        </is>
      </c>
      <c r="O214" s="51" t="n">
        <v>8</v>
      </c>
      <c r="P214" s="50" t="n">
        <v>1792</v>
      </c>
      <c r="Q214" s="21" t="n"/>
      <c r="R214" s="21" t="n"/>
      <c r="S214" s="21" t="n"/>
      <c r="T214" s="21" t="n"/>
      <c r="U214" s="21" t="n"/>
      <c r="V214" s="21" t="n"/>
      <c r="W214" s="21" t="n"/>
      <c r="X214" s="21" t="n"/>
      <c r="Y214" s="21" t="n"/>
      <c r="Z214" s="21" t="n"/>
      <c r="AA214" s="21" t="n"/>
      <c r="AB214" s="23" t="n"/>
      <c r="AC214" s="23" t="n"/>
      <c r="AD214" s="7" t="n"/>
    </row>
    <row r="215" outlineLevel="1" ht="32" customFormat="1" customHeight="1" s="294">
      <c r="A215" s="70" t="n"/>
      <c r="C215" s="58" t="n"/>
      <c r="D215" s="58" t="n"/>
      <c r="E215" s="58" t="n"/>
      <c r="F215" s="56" t="n"/>
      <c r="G215" s="21" t="n"/>
      <c r="H215" s="21" t="n"/>
      <c r="I215" s="21" t="n"/>
      <c r="J215" s="21" t="n"/>
      <c r="K215" s="21" t="n"/>
      <c r="L215" s="21" t="n"/>
      <c r="M215" s="192" t="inlineStr">
        <is>
          <t>2</t>
        </is>
      </c>
      <c r="N215" s="51" t="inlineStr">
        <is>
          <t>Shared/core surface (Master, Login, Auth, Notify, Search)</t>
        </is>
      </c>
      <c r="O215" s="51" t="n">
        <v>15</v>
      </c>
      <c r="P215" s="50" t="n">
        <v>3360</v>
      </c>
      <c r="Q215" s="21" t="n"/>
      <c r="R215" s="21" t="n"/>
      <c r="S215" s="21" t="n"/>
      <c r="T215" s="21" t="n"/>
      <c r="U215" s="21" t="n"/>
      <c r="V215" s="21" t="n"/>
      <c r="W215" s="21" t="n"/>
      <c r="X215" s="21" t="n"/>
      <c r="Y215" s="21" t="n"/>
      <c r="Z215" s="21" t="n"/>
      <c r="AA215" s="21" t="n"/>
      <c r="AB215" s="23" t="n"/>
      <c r="AC215" s="23" t="n"/>
      <c r="AD215" s="7" t="n"/>
    </row>
    <row r="216" outlineLevel="1" ht="32" customFormat="1" customHeight="1" s="294">
      <c r="A216" s="70" t="n"/>
      <c r="C216" s="58" t="n"/>
      <c r="D216" s="58" t="n"/>
      <c r="E216" s="58" t="n"/>
      <c r="F216" s="56" t="n"/>
      <c r="G216" s="21" t="n"/>
      <c r="H216" s="21" t="n"/>
      <c r="I216" s="21" t="n"/>
      <c r="J216" s="21" t="n"/>
      <c r="K216" s="21" t="n"/>
      <c r="L216" s="21" t="n"/>
      <c r="M216" s="192" t="inlineStr">
        <is>
          <t>→</t>
        </is>
      </c>
      <c r="N216" s="51" t="inlineStr">
        <is>
          <t>Storefront screens (PDP, category, cart, checkout, account, …)</t>
        </is>
      </c>
      <c r="O216" s="51" t="n">
        <v>44</v>
      </c>
      <c r="P216" s="50" t="n">
        <v>9856</v>
      </c>
      <c r="Q216" s="21" t="n"/>
      <c r="R216" s="21" t="n"/>
      <c r="S216" s="21" t="n"/>
      <c r="T216" s="21" t="n"/>
      <c r="U216" s="21" t="n"/>
      <c r="V216" s="21" t="n"/>
      <c r="W216" s="21" t="n"/>
      <c r="X216" s="21" t="n"/>
      <c r="Y216" s="21" t="n"/>
      <c r="Z216" s="21" t="n"/>
      <c r="AA216" s="21" t="n"/>
      <c r="AB216" s="23" t="n"/>
      <c r="AC216" s="23" t="n"/>
      <c r="AD216" s="7" t="n"/>
    </row>
    <row r="217" outlineLevel="1" ht="3" customFormat="1" customHeight="1" s="294">
      <c r="A217" s="70" t="n"/>
      <c r="C217" s="58" t="n"/>
      <c r="D217" s="58" t="n"/>
      <c r="E217" s="58" t="n"/>
      <c r="F217" s="56" t="n"/>
      <c r="G217" s="21" t="n"/>
      <c r="H217" s="21" t="n"/>
      <c r="I217" s="21" t="n"/>
      <c r="J217" s="21" t="n"/>
      <c r="K217" s="21" t="n"/>
      <c r="L217" s="21" t="n"/>
      <c r="M217" s="238" t="inlineStr">
        <is>
          <t>3</t>
        </is>
      </c>
      <c r="N217" s="239" t="inlineStr">
        <is>
          <t>Cross-screen components, hooks, API handlers</t>
        </is>
      </c>
      <c r="O217" s="239" t="n">
        <v>30</v>
      </c>
      <c r="P217" s="240" t="n">
        <v>6720</v>
      </c>
      <c r="Q217" s="21" t="n"/>
      <c r="R217" s="21" t="n"/>
      <c r="S217" s="21" t="n"/>
      <c r="T217" s="21" t="n"/>
      <c r="U217" s="21" t="n"/>
      <c r="V217" s="21" t="n"/>
      <c r="W217" s="21" t="n"/>
      <c r="X217" s="21" t="n"/>
      <c r="Y217" s="21" t="n"/>
      <c r="Z217" s="21" t="n"/>
      <c r="AA217" s="21" t="n"/>
      <c r="AB217" s="23" t="n"/>
      <c r="AC217" s="23" t="n"/>
      <c r="AD217" s="7" t="n"/>
    </row>
    <row r="218" outlineLevel="1" ht="16" customFormat="1" customHeight="1" s="294">
      <c r="A218" s="70" t="n"/>
      <c r="C218" s="58" t="n"/>
      <c r="D218" s="58" t="n"/>
      <c r="E218" s="58" t="n"/>
      <c r="F218" s="56" t="n"/>
      <c r="G218" s="21" t="n"/>
      <c r="H218" s="21" t="n"/>
      <c r="I218" s="21" t="n"/>
      <c r="J218" s="21" t="n"/>
      <c r="K218" s="21" t="n"/>
      <c r="L218" s="21" t="n"/>
      <c r="M218" s="241" t="inlineStr">
        <is>
          <t>4</t>
        </is>
      </c>
      <c r="N218" s="242" t="inlineStr">
        <is>
          <t>Performance tuning &amp; bug fixing</t>
        </is>
      </c>
      <c r="O218" s="355" t="n">
        <v>5</v>
      </c>
      <c r="P218" s="355" t="n">
        <v>1120</v>
      </c>
      <c r="Q218" s="21" t="n"/>
      <c r="R218" s="21" t="n"/>
      <c r="S218" s="21" t="n"/>
      <c r="T218" s="21" t="n"/>
      <c r="U218" s="21" t="n"/>
      <c r="V218" s="21" t="n"/>
      <c r="W218" s="21" t="n"/>
      <c r="X218" s="21" t="n"/>
      <c r="Y218" s="21" t="n"/>
      <c r="Z218" s="21" t="n"/>
      <c r="AA218" s="21" t="n"/>
      <c r="AB218" s="23" t="n"/>
      <c r="AC218" s="23" t="n"/>
      <c r="AD218" s="7" t="n"/>
    </row>
    <row r="219" outlineLevel="1" ht="16" customFormat="1" customHeight="1" s="294">
      <c r="A219" s="70" t="n"/>
      <c r="C219" s="58" t="n"/>
      <c r="D219" s="58" t="n"/>
      <c r="E219" s="58" t="n"/>
      <c r="F219" s="56" t="n"/>
      <c r="G219" s="21" t="n"/>
      <c r="H219" s="21" t="n"/>
      <c r="I219" s="21" t="n"/>
      <c r="J219" s="21" t="n"/>
      <c r="K219" s="21" t="n"/>
      <c r="L219" s="21" t="n"/>
      <c r="M219" s="192" t="inlineStr">
        <is>
          <t>5</t>
        </is>
      </c>
      <c r="N219" s="51" t="inlineStr">
        <is>
          <t>System stabilisation (perf + regression)</t>
        </is>
      </c>
      <c r="O219" s="51" t="n">
        <v>5</v>
      </c>
      <c r="P219" s="50" t="n">
        <v>1120</v>
      </c>
      <c r="Q219" s="21" t="n"/>
      <c r="R219" s="21" t="n"/>
      <c r="S219" s="21" t="n"/>
      <c r="T219" s="21" t="n"/>
      <c r="U219" s="21" t="n"/>
      <c r="V219" s="21" t="n"/>
      <c r="W219" s="21" t="n"/>
      <c r="X219" s="21" t="n"/>
      <c r="Y219" s="21" t="n"/>
      <c r="Z219" s="21" t="n"/>
      <c r="AA219" s="21" t="n"/>
      <c r="AB219" s="23" t="n"/>
      <c r="AC219" s="23" t="n"/>
      <c r="AD219" s="7" t="n"/>
    </row>
    <row r="220" outlineLevel="1" ht="20.25" customFormat="1" customHeight="1" s="294">
      <c r="A220" s="70" t="n"/>
      <c r="C220" s="56" t="n"/>
      <c r="D220" s="56" t="n"/>
      <c r="E220" s="56" t="n"/>
      <c r="F220" s="56" t="n"/>
      <c r="G220" s="35" t="n"/>
      <c r="H220" s="35" t="n"/>
      <c r="I220" s="35" t="n"/>
      <c r="J220" s="35" t="n"/>
      <c r="K220" s="35" t="n"/>
      <c r="L220" s="35" t="n"/>
      <c r="M220" s="185" t="n"/>
      <c r="N220" s="35" t="n"/>
      <c r="O220" s="35" t="n"/>
      <c r="P220" s="35" t="n"/>
      <c r="Q220" s="35" t="n"/>
      <c r="R220" s="35" t="n"/>
      <c r="S220" s="35" t="n"/>
      <c r="T220" s="35" t="n"/>
      <c r="U220" s="35" t="n"/>
      <c r="V220" s="35" t="n"/>
      <c r="W220" s="35" t="n"/>
      <c r="X220" s="35" t="n"/>
      <c r="Y220" s="35" t="n"/>
      <c r="Z220" s="35" t="n"/>
      <c r="AA220" s="35" t="n"/>
      <c r="AB220" s="35" t="n"/>
      <c r="AC220" s="35" t="n"/>
      <c r="AD220" s="7" t="n"/>
    </row>
    <row r="221" ht="15" customHeight="1" s="337">
      <c r="F221" s="56" t="n"/>
    </row>
    <row r="222" ht="20.25" customFormat="1" customHeight="1" s="294">
      <c r="A222" s="70" t="n"/>
      <c r="C222" s="56" t="n"/>
      <c r="D222" s="56" t="n"/>
      <c r="E222" s="56" t="n"/>
      <c r="F222" s="56" t="n"/>
      <c r="G222" s="293" t="inlineStr">
        <is>
          <t>Notes</t>
        </is>
      </c>
      <c r="H222" s="302" t="n"/>
      <c r="I222" s="120" t="n"/>
      <c r="J222" s="35" t="n"/>
      <c r="K222" s="35" t="n"/>
      <c r="L222" s="31" t="n"/>
      <c r="M222" s="231" t="inlineStr">
        <is>
          <t>Pricing &amp; Basic Schedule</t>
        </is>
      </c>
      <c r="N222" s="31" t="n"/>
      <c r="O222" s="31" t="n"/>
      <c r="P222" s="31" t="n"/>
      <c r="Q222" s="31" t="n"/>
      <c r="R222" s="31" t="n"/>
      <c r="S222" s="31" t="n"/>
      <c r="T222" s="31" t="n"/>
      <c r="U222" s="31" t="n"/>
      <c r="V222" s="31" t="n"/>
      <c r="W222" s="31" t="n"/>
      <c r="X222" s="31" t="n"/>
      <c r="Y222" s="31" t="n"/>
      <c r="Z222" s="31" t="n"/>
      <c r="AA222" s="31" t="n"/>
      <c r="AB222" s="31" t="n"/>
      <c r="AC222" s="31" t="n"/>
      <c r="AD222" s="7" t="n"/>
    </row>
    <row r="223" outlineLevel="1" s="337">
      <c r="F223" s="56" t="n"/>
      <c r="G223" s="50" t="n"/>
      <c r="H223" s="50" t="n"/>
      <c r="I223" s="50" t="n"/>
      <c r="J223" s="50" t="n"/>
      <c r="K223" s="50" t="n"/>
      <c r="L223" s="50" t="n"/>
      <c r="M223" s="192" t="n"/>
      <c r="N223" s="51" t="n"/>
      <c r="O223" s="51" t="n"/>
      <c r="P223" s="50" t="n"/>
      <c r="Q223" s="50" t="n"/>
      <c r="R223" s="50" t="n"/>
      <c r="S223" s="50" t="n"/>
      <c r="T223" s="50" t="n"/>
      <c r="U223" s="50" t="n"/>
      <c r="V223" s="50" t="n"/>
      <c r="W223" s="50" t="n"/>
      <c r="X223" s="50" t="n"/>
      <c r="Y223" s="50" t="n"/>
      <c r="Z223" s="50" t="n"/>
      <c r="AA223" s="50" t="n"/>
      <c r="AB223" s="51" t="n"/>
      <c r="AC223" s="23" t="n"/>
    </row>
    <row r="224" outlineLevel="1" s="337">
      <c r="F224" s="56" t="n"/>
      <c r="G224" s="50" t="n">
        <v>1</v>
      </c>
      <c r="H224" s="50" t="n"/>
      <c r="I224" s="50" t="n"/>
      <c r="J224" s="50" t="n"/>
      <c r="K224" s="50" t="n"/>
      <c r="L224" s="50" t="n"/>
      <c r="M224" s="192" t="n"/>
      <c r="N224" s="51" t="n"/>
      <c r="O224" s="51" t="n"/>
      <c r="P224" s="50" t="n"/>
      <c r="Q224" s="324" t="inlineStr">
        <is>
          <t>Role-wise rates / effort distribution</t>
        </is>
      </c>
      <c r="R224" s="325" t="n"/>
      <c r="S224" s="325" t="n"/>
      <c r="T224" s="325" t="n"/>
      <c r="U224" s="325" t="n"/>
      <c r="V224" s="325" t="n"/>
      <c r="W224" s="164" t="n"/>
      <c r="X224" s="50" t="n"/>
      <c r="Y224" s="50" t="n"/>
      <c r="Z224" s="50" t="n"/>
      <c r="AA224" s="50" t="n"/>
      <c r="AB224" s="51" t="n"/>
      <c r="AC224" s="23" t="n"/>
    </row>
    <row r="225" outlineLevel="1" ht="15" customHeight="1" s="337">
      <c r="B225" s="296">
        <f>IF(OR(COUNTBLANK(Q225:W225)&lt;&gt;0,SUM(Q225:W225)=0), ".", "")</f>
        <v/>
      </c>
      <c r="F225" s="56" t="n"/>
      <c r="G225" s="50" t="n">
        <v>2</v>
      </c>
      <c r="H225" s="50" t="n"/>
      <c r="I225" s="50" t="n"/>
      <c r="J225" s="50" t="n"/>
      <c r="K225" s="50" t="n"/>
      <c r="L225" s="50" t="n"/>
      <c r="M225" s="192" t="n"/>
      <c r="N225" s="51" t="n"/>
      <c r="O225" s="299">
        <f>TOTAL_EFFORT</f>
        <v/>
      </c>
      <c r="P225" s="299">
        <f>TOTAL_COST</f>
        <v/>
      </c>
      <c r="Q225" s="42">
        <f>28 * 8</f>
        <v/>
      </c>
      <c r="R225" s="42">
        <f>28 * 8</f>
        <v/>
      </c>
      <c r="S225" s="42">
        <f>28 * 8</f>
        <v/>
      </c>
      <c r="T225" s="42">
        <f>28 * 8</f>
        <v/>
      </c>
      <c r="U225" s="42">
        <f>28 * 8</f>
        <v/>
      </c>
      <c r="V225" s="42">
        <f>28 * 8</f>
        <v/>
      </c>
      <c r="W225" s="320">
        <f>CHOSEN_CURRENCY</f>
        <v/>
      </c>
      <c r="X225" s="302" t="n"/>
      <c r="Y225" s="50" t="n"/>
      <c r="Z225" s="50" t="n"/>
      <c r="AA225" s="50" t="n"/>
      <c r="AB225" s="51" t="n"/>
      <c r="AC225" s="23" t="n"/>
    </row>
    <row r="226" outlineLevel="1" ht="15" customHeight="1" s="337">
      <c r="F226" s="56" t="n"/>
      <c r="G226" s="50" t="n">
        <v>3</v>
      </c>
      <c r="H226" s="50" t="n"/>
      <c r="I226" s="50" t="n"/>
      <c r="J226" s="50" t="n"/>
      <c r="K226" s="50" t="n"/>
      <c r="L226" s="50" t="n"/>
      <c r="M226" s="192" t="n"/>
      <c r="N226" s="51" t="n"/>
      <c r="O226" s="325" t="n"/>
      <c r="P226" s="325" t="n"/>
      <c r="Q226" s="193" t="inlineStr">
        <is>
          <t>BA</t>
        </is>
      </c>
      <c r="R226" s="193" t="inlineStr">
        <is>
          <t>TA</t>
        </is>
      </c>
      <c r="S226" s="193" t="inlineStr">
        <is>
          <t>TL</t>
        </is>
      </c>
      <c r="T226" s="193" t="inlineStr">
        <is>
          <t>DEV</t>
        </is>
      </c>
      <c r="U226" s="193" t="inlineStr">
        <is>
          <t>QA</t>
        </is>
      </c>
      <c r="V226" s="194" t="inlineStr">
        <is>
          <t>GD</t>
        </is>
      </c>
      <c r="W226" s="356" t="n"/>
      <c r="X226" s="325" t="n"/>
      <c r="Y226" s="50" t="n"/>
      <c r="Z226" s="50" t="n"/>
      <c r="AA226" s="50" t="n"/>
      <c r="AB226" s="51" t="n"/>
      <c r="AC226" s="23" t="n"/>
    </row>
    <row r="227" outlineLevel="1" ht="15" customHeight="1" s="337">
      <c r="B227" s="296">
        <f>IF(SUM(Q227:V227)&lt;&gt;1,".","")</f>
        <v/>
      </c>
      <c r="F227" s="56" t="n"/>
      <c r="G227" s="50" t="n">
        <v>4</v>
      </c>
      <c r="H227" s="50" t="n"/>
      <c r="I227" s="50" t="n"/>
      <c r="J227" s="50" t="n"/>
      <c r="K227" s="50" t="n"/>
      <c r="L227" s="53" t="inlineStr">
        <is>
          <t>Req</t>
        </is>
      </c>
      <c r="M227" s="192">
        <f>$L$12</f>
        <v/>
      </c>
      <c r="N227" s="51">
        <f>$M$12</f>
        <v/>
      </c>
      <c r="O227" s="244">
        <f>S12</f>
        <v/>
      </c>
      <c r="P227" s="245">
        <f>ROUND(REQ_EFFORT/5,0)</f>
        <v/>
      </c>
      <c r="Q227" s="77" t="n">
        <v>0.85</v>
      </c>
      <c r="R227" s="174" t="n">
        <v>0.1</v>
      </c>
      <c r="S227" s="37" t="n"/>
      <c r="T227" s="37" t="n"/>
      <c r="U227" s="37" t="n"/>
      <c r="V227" s="38" t="n">
        <v>0.05</v>
      </c>
      <c r="W227" s="357">
        <f>(($O227*Q227)*Q$225)+(($O227*R227)*R$225)+(($O227*S227)*S$225)+(($O227*T227)*T$225)+(($O227*U227)*U$225)+(($O227*V227)*V$225)</f>
        <v/>
      </c>
      <c r="X227" s="358" t="n"/>
      <c r="Y227" s="50" t="n"/>
      <c r="Z227" s="50" t="n"/>
      <c r="AA227" s="50" t="n"/>
      <c r="AB227" s="51" t="n"/>
      <c r="AC227" s="23" t="n"/>
    </row>
    <row r="228" outlineLevel="1" ht="16" customHeight="1" s="337">
      <c r="B228" s="296">
        <f>IF(SUM(Q228:V228)&lt;&gt;1,".","")</f>
        <v/>
      </c>
      <c r="F228" s="56" t="n"/>
      <c r="G228" s="50" t="n">
        <v>5</v>
      </c>
      <c r="H228" s="50" t="n"/>
      <c r="I228" s="50" t="n"/>
      <c r="J228" s="50" t="n"/>
      <c r="K228" s="50" t="n"/>
      <c r="L228" s="53" t="inlineStr">
        <is>
          <t>Design</t>
        </is>
      </c>
      <c r="M228" s="192">
        <f>$L$65</f>
        <v/>
      </c>
      <c r="N228" s="51">
        <f>$M$65</f>
        <v/>
      </c>
      <c r="O228" s="244">
        <f>S65</f>
        <v/>
      </c>
      <c r="P228" s="245">
        <f>ROUND(DESIGN_EFFORT/5,0)</f>
        <v/>
      </c>
      <c r="Q228" s="37" t="n"/>
      <c r="R228" s="175" t="n">
        <v>0.7</v>
      </c>
      <c r="S228" s="36" t="n">
        <v>0.2</v>
      </c>
      <c r="T228" s="37" t="n"/>
      <c r="U228" s="36" t="n">
        <v>0.1</v>
      </c>
      <c r="V228" s="39" t="n"/>
      <c r="W228" s="357">
        <f>(($O228*Q228)*Q$225)+(($O228*R228)*R$225)+(($O228*S228)*S$225)+(($O228*T228)*T$225)+(($O228*U228)*U$225)+(($O228*V228)*V$225)</f>
        <v/>
      </c>
      <c r="X228" s="358" t="n"/>
      <c r="Y228" s="50" t="n"/>
      <c r="Z228" s="50" t="n"/>
      <c r="AA228" s="50" t="n"/>
      <c r="AB228" s="51" t="n"/>
      <c r="AC228" s="23" t="n"/>
    </row>
    <row r="229" outlineLevel="1" ht="16" customHeight="1" s="337">
      <c r="B229" s="296">
        <f>IF(SUM(Q229:V229)&lt;&gt;1,".","")</f>
        <v/>
      </c>
      <c r="F229" s="56" t="n"/>
      <c r="G229" s="50" t="n">
        <v>6</v>
      </c>
      <c r="H229" s="50" t="n"/>
      <c r="I229" s="50" t="n"/>
      <c r="J229" s="50" t="n"/>
      <c r="K229" s="50" t="n"/>
      <c r="L229" s="53" t="inlineStr">
        <is>
          <t>Dev.</t>
        </is>
      </c>
      <c r="M229" s="192">
        <f>$L$95</f>
        <v/>
      </c>
      <c r="N229" s="51">
        <f>$M$95</f>
        <v/>
      </c>
      <c r="O229" s="244">
        <f>S95</f>
        <v/>
      </c>
      <c r="P229" s="245">
        <f>ROUND(DEV_EFFORT/5,0)</f>
        <v/>
      </c>
      <c r="Q229" s="37" t="n"/>
      <c r="R229" s="174" t="n"/>
      <c r="S229" s="36" t="n">
        <v>0.3</v>
      </c>
      <c r="T229" s="77" t="n">
        <v>0.7</v>
      </c>
      <c r="U229" s="37" t="n"/>
      <c r="V229" s="39" t="n"/>
      <c r="W229" s="357">
        <f>(($O229*Q229)*Q$225)+(($O229*R229)*R$225)+(($O229*S229)*S$225)+(($O229*T229)*T$225)+(($O229*U229)*U$225)+(($O229*V229)*V$225)</f>
        <v/>
      </c>
      <c r="X229" s="358" t="n"/>
      <c r="Y229" s="50" t="n"/>
      <c r="Z229" s="50" t="n"/>
      <c r="AA229" s="50" t="n"/>
      <c r="AB229" s="51" t="n"/>
      <c r="AC229" s="23" t="n"/>
    </row>
    <row r="230" outlineLevel="1" ht="16" customHeight="1" s="337">
      <c r="B230" s="296">
        <f>IF(SUM(Q230:V230)&lt;&gt;1,".","")</f>
        <v/>
      </c>
      <c r="F230" s="56" t="n"/>
      <c r="G230" s="50" t="n">
        <v>7</v>
      </c>
      <c r="H230" s="50" t="n"/>
      <c r="I230" s="50" t="n"/>
      <c r="J230" s="50" t="n"/>
      <c r="K230" s="50" t="n"/>
      <c r="L230" s="53" t="inlineStr">
        <is>
          <t>QA</t>
        </is>
      </c>
      <c r="M230" s="192">
        <f>$L$135</f>
        <v/>
      </c>
      <c r="N230" s="51">
        <f>$M$135</f>
        <v/>
      </c>
      <c r="O230" s="244">
        <f>S135</f>
        <v/>
      </c>
      <c r="P230" s="245">
        <f>ROUND(QA_EFFORT/5,0)</f>
        <v/>
      </c>
      <c r="Q230" s="37" t="n"/>
      <c r="R230" s="174" t="n"/>
      <c r="S230" s="36" t="n">
        <v>0.1</v>
      </c>
      <c r="T230" s="36" t="n">
        <v>0.1</v>
      </c>
      <c r="U230" s="77" t="n">
        <v>0.8</v>
      </c>
      <c r="V230" s="39" t="n"/>
      <c r="W230" s="357">
        <f>(($O230*Q230)*Q$225)+(($O230*R230)*R$225)+(($O230*S230)*S$225)+(($O230*T230)*T$225)+(($O230*U230)*U$225)+(($O230*V230)*V$225)</f>
        <v/>
      </c>
      <c r="X230" s="358" t="n"/>
      <c r="Y230" s="50" t="n"/>
      <c r="Z230" s="50" t="n"/>
      <c r="AA230" s="50" t="n"/>
      <c r="AB230" s="51" t="n"/>
      <c r="AC230" s="23" t="n"/>
    </row>
    <row r="231" outlineLevel="1" ht="16" customHeight="1" s="337">
      <c r="B231" s="296">
        <f>IF(SUM(Q231:V231)&lt;&gt;1,".","")</f>
        <v/>
      </c>
      <c r="F231" s="56" t="n"/>
      <c r="G231" s="50" t="n">
        <v>8</v>
      </c>
      <c r="H231" s="50" t="n"/>
      <c r="I231" s="50" t="n"/>
      <c r="J231" s="50" t="n"/>
      <c r="K231" s="50" t="n"/>
      <c r="L231" s="53" t="inlineStr">
        <is>
          <t>UAT Etc.</t>
        </is>
      </c>
      <c r="M231" s="192">
        <f>$L$173</f>
        <v/>
      </c>
      <c r="N231" s="51">
        <f>$M$173</f>
        <v/>
      </c>
      <c r="O231" s="244">
        <f>S173</f>
        <v/>
      </c>
      <c r="P231" s="245">
        <f>ROUND(UAT_EFFORT/5,0)</f>
        <v/>
      </c>
      <c r="Q231" s="37" t="n"/>
      <c r="R231" s="174" t="n"/>
      <c r="S231" s="36" t="n">
        <v>0.4</v>
      </c>
      <c r="T231" s="77" t="n">
        <v>0.4</v>
      </c>
      <c r="U231" s="36" t="n">
        <v>0.2</v>
      </c>
      <c r="V231" s="39" t="n"/>
      <c r="W231" s="357">
        <f>(($O231*Q231)*Q$225)+(($O231*R231)*R$225)+(($O231*S231)*S$225)+(($O231*T231)*T$225)+(($O231*U231)*U$225)+(($O231*V231)*V$225)</f>
        <v/>
      </c>
      <c r="X231" s="358" t="n"/>
      <c r="Y231" s="50" t="n"/>
      <c r="Z231" s="50" t="n"/>
      <c r="AA231" s="50" t="n"/>
      <c r="AB231" s="51" t="n"/>
      <c r="AC231" s="23" t="n"/>
    </row>
    <row r="232" outlineLevel="1" ht="16" customHeight="1" s="337">
      <c r="B232" s="296">
        <f>IF(SUM(Q232:V232)&lt;&gt;1,".","")</f>
        <v/>
      </c>
      <c r="F232" s="56" t="n"/>
      <c r="G232" s="50" t="n">
        <v>9</v>
      </c>
      <c r="H232" s="50" t="n"/>
      <c r="I232" s="50" t="n"/>
      <c r="J232" s="50" t="n"/>
      <c r="K232" s="50" t="n"/>
      <c r="L232" s="53" t="inlineStr">
        <is>
          <t>Others</t>
        </is>
      </c>
      <c r="M232" s="192">
        <f>$L$196</f>
        <v/>
      </c>
      <c r="N232" s="51">
        <f>$M$196</f>
        <v/>
      </c>
      <c r="O232" s="244">
        <f>S196</f>
        <v/>
      </c>
      <c r="P232" s="245">
        <f>ROUND(OTHER_EFFORT/5,0)</f>
        <v/>
      </c>
      <c r="Q232" s="37" t="n"/>
      <c r="R232" s="174" t="n">
        <v>0.2</v>
      </c>
      <c r="S232" s="77" t="n">
        <v>0.8</v>
      </c>
      <c r="T232" s="37" t="n"/>
      <c r="U232" s="37" t="n"/>
      <c r="V232" s="39" t="n"/>
      <c r="W232" s="359">
        <f>(($O232*Q232)*Q$225)+(($O232*R232)*R$225)+(($O232*S232)*S$225)+(($O232*T232)*T$225)+(($O232*U232)*U$225)+(($O232*V232)*V$225)</f>
        <v/>
      </c>
      <c r="X232" s="360" t="n"/>
      <c r="Y232" s="50" t="n"/>
      <c r="Z232" s="50" t="n"/>
      <c r="AA232" s="50" t="n"/>
      <c r="AB232" s="51" t="n"/>
      <c r="AC232" s="23" t="n"/>
    </row>
    <row r="233" outlineLevel="1" ht="21" customHeight="1" s="337">
      <c r="F233" s="56" t="n"/>
      <c r="G233" s="50" t="n">
        <v>10</v>
      </c>
      <c r="H233" s="50" t="n"/>
      <c r="I233" s="50" t="n"/>
      <c r="J233" s="50" t="n"/>
      <c r="K233" s="50" t="n"/>
      <c r="L233" s="50" t="n"/>
      <c r="M233" s="192" t="n"/>
      <c r="N233" s="51" t="n"/>
      <c r="O233" s="361">
        <f>SUM(O227:O232)</f>
        <v/>
      </c>
      <c r="P233" s="247">
        <f>SUM(P227:P232)</f>
        <v/>
      </c>
      <c r="Q233" s="322" t="inlineStr">
        <is>
          <t>←  TOTALS  →</t>
        </is>
      </c>
      <c r="R233" s="362" t="n"/>
      <c r="S233" s="362" t="n"/>
      <c r="T233" s="362" t="n"/>
      <c r="U233" s="362" t="n"/>
      <c r="V233" s="362" t="n"/>
      <c r="W233" s="363">
        <f>SUM(W227:W232)</f>
        <v/>
      </c>
      <c r="X233" s="362" t="n"/>
      <c r="Y233" s="50" t="n"/>
      <c r="Z233" s="50" t="n"/>
      <c r="AA233" s="50" t="n"/>
      <c r="AB233" s="51" t="n"/>
      <c r="AC233" s="23" t="n"/>
    </row>
    <row r="234" outlineLevel="1" s="337">
      <c r="F234" s="56" t="n"/>
      <c r="G234" s="50" t="n"/>
      <c r="H234" s="50" t="n"/>
      <c r="I234" s="50" t="n"/>
      <c r="J234" s="50" t="n"/>
      <c r="K234" s="50" t="n"/>
      <c r="L234" s="50" t="n"/>
      <c r="M234" s="192" t="n"/>
      <c r="N234" s="51" t="n"/>
      <c r="O234" s="51" t="n"/>
      <c r="P234" s="50" t="n"/>
      <c r="Q234" s="50" t="n"/>
      <c r="R234" s="50" t="n"/>
      <c r="S234" s="50" t="n"/>
      <c r="T234" s="50" t="n"/>
      <c r="U234" s="50" t="n"/>
      <c r="V234" s="50" t="n"/>
      <c r="W234" s="50" t="n"/>
      <c r="X234" s="50" t="n"/>
      <c r="Y234" s="50" t="n"/>
      <c r="Z234" s="50" t="n"/>
      <c r="AA234" s="50" t="n"/>
      <c r="AB234" s="51" t="n"/>
      <c r="AC234" s="23" t="n"/>
    </row>
    <row r="235" outlineLevel="1" ht="15" customHeight="1" s="337">
      <c r="F235" s="56" t="n"/>
      <c r="G235" s="50" t="n"/>
      <c r="H235" s="50" t="n"/>
      <c r="I235" s="50" t="n"/>
      <c r="J235" s="50" t="n"/>
      <c r="K235" s="50" t="n"/>
      <c r="L235" s="50" t="n"/>
      <c r="M235" s="192" t="n"/>
      <c r="N235" s="51" t="n"/>
      <c r="O235" s="51" t="n"/>
      <c r="P235" s="50" t="n"/>
      <c r="Q235" s="324" t="inlineStr">
        <is>
          <t>Role-wise resource count / phase</t>
        </is>
      </c>
      <c r="R235" s="325" t="n"/>
      <c r="S235" s="325" t="n"/>
      <c r="T235" s="325" t="n"/>
      <c r="U235" s="325" t="n"/>
      <c r="V235" s="325" t="n"/>
      <c r="W235" s="328" t="inlineStr">
        <is>
          <t>Start Next  
After %</t>
        </is>
      </c>
      <c r="X235" s="302" t="n"/>
      <c r="Y235" s="50" t="n"/>
      <c r="Z235" s="50" t="n"/>
      <c r="AA235" s="50" t="n"/>
      <c r="AB235" s="51" t="n"/>
      <c r="AC235" s="23" t="n"/>
    </row>
    <row r="236" outlineLevel="1" ht="15" customHeight="1" s="337">
      <c r="F236" s="56" t="n"/>
      <c r="G236" s="50" t="n"/>
      <c r="H236" s="50" t="n"/>
      <c r="I236" s="50" t="n"/>
      <c r="J236" s="50" t="n"/>
      <c r="K236" s="50" t="n"/>
      <c r="L236" s="50" t="n"/>
      <c r="M236" s="188" t="n"/>
      <c r="N236" s="23" t="n"/>
      <c r="O236" s="248" t="inlineStr">
        <is>
          <t>Start</t>
        </is>
      </c>
      <c r="P236" s="249" t="inlineStr">
        <is>
          <t>End</t>
        </is>
      </c>
      <c r="Q236" s="193" t="inlineStr">
        <is>
          <t>BA</t>
        </is>
      </c>
      <c r="R236" s="193" t="inlineStr">
        <is>
          <t>TA</t>
        </is>
      </c>
      <c r="S236" s="193" t="inlineStr">
        <is>
          <t>TL</t>
        </is>
      </c>
      <c r="T236" s="193" t="inlineStr">
        <is>
          <t>DEV</t>
        </is>
      </c>
      <c r="U236" s="193" t="inlineStr">
        <is>
          <t>QA</t>
        </is>
      </c>
      <c r="V236" s="194" t="inlineStr">
        <is>
          <t>GD</t>
        </is>
      </c>
      <c r="W236" s="302" t="n"/>
      <c r="X236" s="302" t="n"/>
      <c r="Y236" s="50" t="n"/>
      <c r="Z236" s="76" t="n"/>
      <c r="AA236" s="76" t="n"/>
      <c r="AB236" s="76" t="n"/>
      <c r="AC236" s="76" t="n"/>
    </row>
    <row r="237" outlineLevel="1" ht="15" customHeight="1" s="337">
      <c r="F237" s="56" t="n"/>
      <c r="G237" s="50" t="n"/>
      <c r="H237" s="50" t="n"/>
      <c r="I237" s="50" t="n"/>
      <c r="J237" s="50" t="n"/>
      <c r="K237" s="50" t="n"/>
      <c r="L237" s="50" t="n"/>
      <c r="M237" s="192">
        <f>$L$12</f>
        <v/>
      </c>
      <c r="N237" s="51">
        <f>$M$12</f>
        <v/>
      </c>
      <c r="O237" s="79" t="n">
        <v>46174</v>
      </c>
      <c r="P237" s="250">
        <f>O237+(((P227*REQ_BA_PERCENT)/REQ_BA_COUNT)*7)</f>
        <v/>
      </c>
      <c r="Q237" s="78" t="n">
        <v>2</v>
      </c>
      <c r="R237" s="146" t="n">
        <v>1</v>
      </c>
      <c r="S237" s="75" t="n"/>
      <c r="T237" s="75" t="n"/>
      <c r="U237" s="75" t="n"/>
      <c r="V237" s="43" t="n">
        <v>1</v>
      </c>
      <c r="W237" s="168" t="n">
        <v>0.75</v>
      </c>
      <c r="X237" s="50" t="n"/>
      <c r="Y237" s="315" t="inlineStr">
        <is>
          <t>Note: This does not takes care of optimized parallel execution of tasks. For that manual scheduling will be required, which can be / done on next sheet.</t>
        </is>
      </c>
      <c r="Z237" s="302" t="n"/>
      <c r="AA237" s="302" t="n"/>
      <c r="AB237" s="51" t="n"/>
      <c r="AC237" s="23" t="n"/>
    </row>
    <row r="238" outlineLevel="1" ht="16" customHeight="1" s="337">
      <c r="F238" s="56" t="n"/>
      <c r="G238" s="50" t="n"/>
      <c r="H238" s="50" t="n"/>
      <c r="I238" s="50" t="n"/>
      <c r="J238" s="50" t="n"/>
      <c r="K238" s="50" t="n"/>
      <c r="L238" s="50" t="n"/>
      <c r="M238" s="192">
        <f>$L$65</f>
        <v/>
      </c>
      <c r="N238" s="51">
        <f>$M$65</f>
        <v/>
      </c>
      <c r="O238" s="251">
        <f>O237+((P237-O237)*W237)+1</f>
        <v/>
      </c>
      <c r="P238" s="250">
        <f>O238+(((P228*DESIGN_TA_PERCENT)/DESIGN_TA_COUNT)*7)</f>
        <v/>
      </c>
      <c r="Q238" s="75" t="n">
        <v>1</v>
      </c>
      <c r="R238" s="147" t="n">
        <v>3</v>
      </c>
      <c r="S238" s="75" t="n">
        <v>1</v>
      </c>
      <c r="T238" s="75" t="n"/>
      <c r="U238" s="75" t="n">
        <v>1</v>
      </c>
      <c r="V238" s="43" t="n"/>
      <c r="W238" s="169" t="n">
        <v>0.75</v>
      </c>
      <c r="X238" s="50" t="n"/>
      <c r="Y238" s="302" t="n"/>
      <c r="Z238" s="302" t="n"/>
      <c r="AA238" s="302" t="n"/>
      <c r="AB238" s="51" t="n"/>
      <c r="AC238" s="23" t="n"/>
    </row>
    <row r="239" outlineLevel="1" ht="16" customHeight="1" s="337">
      <c r="F239" s="56" t="n"/>
      <c r="G239" s="50" t="n"/>
      <c r="H239" s="50" t="n"/>
      <c r="I239" s="50" t="n"/>
      <c r="J239" s="50" t="n"/>
      <c r="K239" s="50" t="n"/>
      <c r="L239" s="50" t="n"/>
      <c r="M239" s="192">
        <f>$L$95</f>
        <v/>
      </c>
      <c r="N239" s="51">
        <f>$M$95</f>
        <v/>
      </c>
      <c r="O239" s="251">
        <f>O238+((P238-O238)*W238)+1</f>
        <v/>
      </c>
      <c r="P239" s="250">
        <f>O239+(((P229*DEV_DEV_PERCENT)/DEV_DEV_COUNT)*7)</f>
        <v/>
      </c>
      <c r="Q239" s="75" t="n"/>
      <c r="R239" s="146" t="n"/>
      <c r="S239" s="75" t="n">
        <v>1</v>
      </c>
      <c r="T239" s="78" t="n">
        <v>2</v>
      </c>
      <c r="U239" s="75" t="n"/>
      <c r="V239" s="43" t="n"/>
      <c r="W239" s="168" t="n">
        <v>0.75</v>
      </c>
      <c r="X239" s="50" t="n"/>
      <c r="Y239" s="302" t="n"/>
      <c r="Z239" s="302" t="n"/>
      <c r="AA239" s="302" t="n"/>
      <c r="AB239" s="51" t="n"/>
      <c r="AC239" s="23" t="n"/>
    </row>
    <row r="240" outlineLevel="1" ht="16" customHeight="1" s="337">
      <c r="F240" s="56" t="n"/>
      <c r="G240" s="50" t="n"/>
      <c r="H240" s="50" t="n"/>
      <c r="I240" s="50" t="n"/>
      <c r="J240" s="50" t="n"/>
      <c r="K240" s="50" t="n"/>
      <c r="L240" s="50" t="n"/>
      <c r="M240" s="192">
        <f>$L$135</f>
        <v/>
      </c>
      <c r="N240" s="51">
        <f>$M$135</f>
        <v/>
      </c>
      <c r="O240" s="251">
        <f>O239+((P239-O239)*W239)+1</f>
        <v/>
      </c>
      <c r="P240" s="250">
        <f>O240+(((P230*TESTING_QA_PERCENT)/TESTING_QA_COUNT)*7)</f>
        <v/>
      </c>
      <c r="Q240" s="75" t="n"/>
      <c r="R240" s="146" t="n"/>
      <c r="S240" s="75" t="n">
        <v>1</v>
      </c>
      <c r="T240" s="75" t="n">
        <v>2</v>
      </c>
      <c r="U240" s="78" t="n">
        <v>2</v>
      </c>
      <c r="V240" s="165" t="n"/>
      <c r="W240" s="168" t="n">
        <v>1</v>
      </c>
      <c r="X240" s="50" t="n"/>
      <c r="Y240" s="302" t="n"/>
      <c r="Z240" s="302" t="n"/>
      <c r="AA240" s="302" t="n"/>
      <c r="AB240" s="51" t="n"/>
      <c r="AC240" s="23" t="n"/>
    </row>
    <row r="241" outlineLevel="1" ht="16" customHeight="1" s="337">
      <c r="F241" s="56" t="n"/>
      <c r="G241" s="50" t="n"/>
      <c r="H241" s="50" t="n"/>
      <c r="I241" s="50" t="n"/>
      <c r="J241" s="50" t="n"/>
      <c r="K241" s="50" t="n"/>
      <c r="L241" s="50" t="n"/>
      <c r="M241" s="192">
        <f>$L$173</f>
        <v/>
      </c>
      <c r="N241" s="51">
        <f>$M$173</f>
        <v/>
      </c>
      <c r="O241" s="251">
        <f>O240+((P240-O240)*W240)+1</f>
        <v/>
      </c>
      <c r="P241" s="250">
        <f>O241+(((P231*UAT_DEV_PERCENT)/UAT_DEV_COUNT)*7)</f>
        <v/>
      </c>
      <c r="Q241" s="75" t="n"/>
      <c r="R241" s="146" t="n"/>
      <c r="S241" s="75" t="n">
        <v>1</v>
      </c>
      <c r="T241" s="78" t="n">
        <v>1</v>
      </c>
      <c r="U241" s="75" t="n">
        <v>1</v>
      </c>
      <c r="V241" s="43" t="n"/>
      <c r="W241" s="168" t="n">
        <v>1</v>
      </c>
      <c r="X241" s="50" t="n"/>
      <c r="Y241" s="302" t="n"/>
      <c r="Z241" s="302" t="n"/>
      <c r="AA241" s="302" t="n"/>
      <c r="AB241" s="51" t="n"/>
      <c r="AC241" s="23" t="n"/>
    </row>
    <row r="242" outlineLevel="1" ht="16" customHeight="1" s="337">
      <c r="F242" s="56" t="n"/>
      <c r="G242" s="50" t="n"/>
      <c r="H242" s="50" t="n"/>
      <c r="I242" s="50" t="n"/>
      <c r="J242" s="50" t="n"/>
      <c r="K242" s="50" t="n"/>
      <c r="L242" s="50" t="n"/>
      <c r="M242" s="192">
        <f>$L$196</f>
        <v/>
      </c>
      <c r="N242" s="51">
        <f>$M$196</f>
        <v/>
      </c>
      <c r="O242" s="252">
        <f>O241+((P241-O241)*W241)+1</f>
        <v/>
      </c>
      <c r="P242" s="253">
        <f>O242+(((P232*OTHER_TL_PERCENT)/OTHER_TL_COUNT)*7)</f>
        <v/>
      </c>
      <c r="Q242" s="83" t="n"/>
      <c r="R242" s="148" t="n">
        <v>0.5</v>
      </c>
      <c r="S242" s="84" t="n">
        <v>1</v>
      </c>
      <c r="T242" s="83" t="n"/>
      <c r="U242" s="83" t="n"/>
      <c r="V242" s="85" t="n"/>
      <c r="W242" s="166" t="n"/>
      <c r="X242" s="50" t="n"/>
      <c r="Y242" s="50" t="n"/>
      <c r="Z242" s="50" t="n"/>
      <c r="AA242" s="50" t="n"/>
      <c r="AB242" s="51" t="n"/>
      <c r="AC242" s="23" t="n"/>
    </row>
    <row r="243" outlineLevel="1" ht="15.5" customHeight="1" s="337">
      <c r="F243" s="56" t="n"/>
      <c r="G243" s="50" t="n">
        <v>1</v>
      </c>
      <c r="H243" s="50" t="n"/>
      <c r="I243" s="50" t="n"/>
      <c r="J243" s="50" t="n"/>
      <c r="K243" s="50" t="n"/>
      <c r="L243" s="21" t="n"/>
      <c r="M243" s="188" t="n"/>
      <c r="N243" s="21" t="n"/>
      <c r="O243" s="254" t="inlineStr">
        <is>
          <t>Automated</t>
        </is>
      </c>
      <c r="P243" s="255">
        <f>NETWORKDAYS(START_DATE,AUTOMATED_END_DATE)/5</f>
        <v/>
      </c>
      <c r="Q243" s="256" t="inlineStr">
        <is>
          <t>Weeks</t>
        </is>
      </c>
      <c r="R243" s="86" t="n"/>
      <c r="S243" s="257" t="inlineStr">
        <is>
          <t>Ending at:</t>
        </is>
      </c>
      <c r="T243" s="295">
        <f>AUTOMATED_END_DATE</f>
        <v/>
      </c>
      <c r="U243" s="302" t="n"/>
      <c r="V243" s="167" t="n"/>
      <c r="W243" s="167" t="n"/>
      <c r="X243" s="167" t="n"/>
      <c r="Y243" s="21" t="n"/>
      <c r="Z243" s="21" t="n"/>
      <c r="AA243" s="21" t="n"/>
      <c r="AB243" s="23" t="n"/>
      <c r="AC243" s="23" t="n"/>
    </row>
    <row r="244" outlineLevel="1" ht="15.5" customHeight="1" s="337">
      <c r="F244" s="56" t="n"/>
      <c r="G244" s="50" t="n">
        <v>2</v>
      </c>
      <c r="H244" s="50" t="n"/>
      <c r="I244" s="50" t="n"/>
      <c r="J244" s="50" t="n"/>
      <c r="K244" s="50" t="n"/>
      <c r="L244" s="21" t="n"/>
      <c r="M244" s="188" t="n"/>
      <c r="N244" s="21" t="n"/>
      <c r="O244" s="254" t="inlineStr">
        <is>
          <t>Manual</t>
        </is>
      </c>
      <c r="P244" s="255">
        <f>NETWORKDAYS(START_DATE,MANUAL_END_DATE)/5</f>
        <v/>
      </c>
      <c r="Q244" s="256" t="inlineStr">
        <is>
          <t>Weeks</t>
        </is>
      </c>
      <c r="R244" s="82" t="n"/>
      <c r="S244" s="257" t="inlineStr">
        <is>
          <t>Ending at:</t>
        </is>
      </c>
      <c r="T244" s="295">
        <f>MANUAL_END_DATE</f>
        <v/>
      </c>
      <c r="U244" s="302" t="n"/>
      <c r="V244" s="167" t="n"/>
      <c r="W244" s="167" t="n"/>
      <c r="X244" s="167" t="n"/>
      <c r="Y244" s="21" t="n"/>
      <c r="Z244" s="21" t="n"/>
      <c r="AA244" s="21" t="n"/>
      <c r="AB244" s="23" t="n"/>
      <c r="AC244" s="23" t="n"/>
    </row>
    <row r="245" outlineLevel="1" ht="15" customHeight="1" s="337">
      <c r="F245" s="56" t="n"/>
      <c r="G245" s="50" t="n"/>
      <c r="H245" s="50" t="n"/>
      <c r="I245" s="50" t="n"/>
      <c r="J245" s="50" t="n"/>
      <c r="K245" s="50" t="n"/>
      <c r="L245" s="21" t="n"/>
      <c r="M245" s="188" t="n"/>
      <c r="N245" s="21" t="n"/>
      <c r="O245" s="80" t="n"/>
      <c r="P245" s="52" t="n"/>
      <c r="Q245" s="81" t="n"/>
      <c r="R245" s="21" t="n"/>
      <c r="S245" s="21" t="n"/>
      <c r="T245" s="21" t="n"/>
      <c r="U245" s="21" t="n"/>
      <c r="V245" s="21" t="n"/>
      <c r="W245" s="21" t="n"/>
      <c r="X245" s="21" t="n"/>
      <c r="Y245" s="21" t="n"/>
      <c r="Z245" s="21" t="n"/>
      <c r="AA245" s="21" t="n"/>
      <c r="AB245" s="23" t="n"/>
      <c r="AC245" s="23" t="n"/>
    </row>
    <row r="246" outlineLevel="1" ht="16" customHeight="1" s="337">
      <c r="F246" s="56" t="n"/>
      <c r="G246" s="50" t="n">
        <v>3</v>
      </c>
      <c r="H246" s="50" t="n"/>
      <c r="I246" s="50" t="n"/>
      <c r="J246" s="50" t="n"/>
      <c r="K246" s="50" t="n"/>
      <c r="L246" s="21" t="n"/>
      <c r="M246" s="188" t="n"/>
      <c r="N246" s="23" t="n"/>
      <c r="O246" s="23" t="n"/>
      <c r="P246" s="21" t="n"/>
      <c r="Q246" s="21" t="n"/>
      <c r="R246" s="21" t="n"/>
      <c r="S246" s="176" t="inlineStr">
        <is>
          <t>For complete manual schedule details,</t>
        </is>
      </c>
      <c r="T246" s="258" t="inlineStr">
        <is>
          <t>click here.</t>
        </is>
      </c>
      <c r="U246" s="21" t="n"/>
      <c r="V246" s="21" t="n"/>
      <c r="W246" s="21" t="n"/>
      <c r="X246" s="21" t="n"/>
      <c r="Y246" s="21" t="n"/>
      <c r="Z246" s="21" t="n"/>
      <c r="AA246" s="21" t="n"/>
      <c r="AB246" s="23" t="n"/>
      <c r="AC246" s="23" t="n"/>
    </row>
    <row r="247" outlineLevel="1" s="337">
      <c r="F247" s="56" t="n"/>
      <c r="G247" s="50" t="n"/>
      <c r="H247" s="50" t="n"/>
      <c r="I247" s="50" t="n"/>
      <c r="J247" s="50" t="n"/>
      <c r="K247" s="50" t="n"/>
      <c r="L247" s="21" t="n"/>
      <c r="M247" s="188" t="n"/>
      <c r="N247" s="23" t="n"/>
      <c r="O247" s="23" t="n"/>
      <c r="P247" s="21" t="n"/>
      <c r="Q247" s="21" t="n"/>
      <c r="R247" s="21" t="n"/>
      <c r="S247" s="21" t="n"/>
      <c r="T247" s="21" t="n"/>
      <c r="U247" s="21" t="n"/>
      <c r="V247" s="21" t="n"/>
      <c r="W247" s="21" t="n"/>
      <c r="X247" s="21" t="n"/>
      <c r="Y247" s="21" t="n"/>
      <c r="Z247" s="21" t="n"/>
      <c r="AA247" s="21" t="n"/>
      <c r="AB247" s="23" t="n"/>
      <c r="AC247" s="23" t="n"/>
    </row>
    <row r="248" outlineLevel="1" ht="20.25" customFormat="1" customHeight="1" s="294">
      <c r="A248" s="70" t="n"/>
      <c r="C248" s="56" t="n"/>
      <c r="D248" s="56" t="n"/>
      <c r="E248" s="56" t="n"/>
      <c r="F248" s="56" t="n"/>
      <c r="G248" s="35" t="n"/>
      <c r="H248" s="35" t="n"/>
      <c r="I248" s="35" t="n"/>
      <c r="J248" s="35" t="n"/>
      <c r="K248" s="35" t="n"/>
      <c r="L248" s="35" t="n"/>
      <c r="M248" s="185" t="n"/>
      <c r="N248" s="35" t="n"/>
      <c r="O248" s="35" t="n"/>
      <c r="P248" s="35" t="n"/>
      <c r="Q248" s="35" t="n"/>
      <c r="R248" s="35" t="n"/>
      <c r="S248" s="35" t="n"/>
      <c r="T248" s="35" t="n"/>
      <c r="U248" s="35" t="n"/>
      <c r="V248" s="35" t="n"/>
      <c r="W248" s="35" t="n"/>
      <c r="X248" s="35" t="n"/>
      <c r="Y248" s="35" t="n"/>
      <c r="Z248" s="35" t="n"/>
      <c r="AA248" s="35" t="n"/>
      <c r="AB248" s="35" t="n"/>
      <c r="AC248" s="35" t="n"/>
      <c r="AD248" s="7" t="n"/>
    </row>
    <row r="249" customFormat="1" s="294">
      <c r="A249" s="70" t="n"/>
      <c r="C249" s="58" t="n"/>
      <c r="D249" s="58" t="n"/>
      <c r="E249" s="58" t="n"/>
      <c r="F249" s="56" t="n"/>
      <c r="M249" s="180" t="n"/>
      <c r="N249" s="7" t="n"/>
      <c r="O249" s="7" t="n"/>
      <c r="AB249" s="7" t="n"/>
      <c r="AC249" s="7" t="n"/>
      <c r="AD249" s="7" t="n"/>
    </row>
    <row r="250" ht="20.25" customFormat="1" customHeight="1" s="294">
      <c r="A250" s="70" t="n"/>
      <c r="C250" s="56" t="n"/>
      <c r="D250" s="56" t="n"/>
      <c r="E250" s="56" t="n"/>
      <c r="F250" s="56" t="n"/>
      <c r="G250" s="293" t="inlineStr">
        <is>
          <t>Notes</t>
        </is>
      </c>
      <c r="H250" s="302" t="n"/>
      <c r="I250" s="120" t="n"/>
      <c r="J250" s="35" t="n"/>
      <c r="K250" s="35" t="n"/>
      <c r="L250" s="31" t="n"/>
      <c r="M250" s="231" t="inlineStr">
        <is>
          <t>Estimation Support Settings</t>
        </is>
      </c>
      <c r="N250" s="31" t="n"/>
      <c r="O250" s="31" t="n"/>
      <c r="P250" s="31" t="n"/>
      <c r="Q250" s="31" t="n"/>
      <c r="R250" s="31" t="n"/>
      <c r="S250" s="31" t="n"/>
      <c r="T250" s="31" t="n"/>
      <c r="U250" s="31" t="n"/>
      <c r="V250" s="31" t="n"/>
      <c r="W250" s="31" t="n"/>
      <c r="X250" s="31" t="n"/>
      <c r="Y250" s="31" t="n"/>
      <c r="Z250" s="31" t="n"/>
      <c r="AA250" s="31" t="n"/>
      <c r="AB250" s="259">
        <f>TEMPLATE_NAME&amp;" "&amp;TEMPLATE_VER</f>
        <v/>
      </c>
      <c r="AC250" s="31" t="n"/>
      <c r="AD250" s="7" t="n"/>
    </row>
    <row r="251" outlineLevel="1" customFormat="1" s="294">
      <c r="A251" s="70" t="n"/>
      <c r="C251" s="58" t="n"/>
      <c r="D251" s="58" t="n"/>
      <c r="E251" s="58" t="n"/>
      <c r="F251" s="56" t="n"/>
      <c r="G251" s="21" t="n"/>
      <c r="H251" s="21" t="n"/>
      <c r="I251" s="21" t="n"/>
      <c r="J251" s="21" t="n"/>
      <c r="K251" s="21" t="n"/>
      <c r="L251" s="21" t="n"/>
      <c r="M251" s="188" t="n"/>
      <c r="N251" s="23" t="n"/>
      <c r="O251" s="23" t="n"/>
      <c r="P251" s="21" t="n"/>
      <c r="Q251" s="21" t="n"/>
      <c r="R251" s="21" t="n"/>
      <c r="S251" s="21" t="n"/>
      <c r="T251" s="21" t="n"/>
      <c r="U251" s="21" t="n"/>
      <c r="V251" s="21" t="n"/>
      <c r="W251" s="21" t="n"/>
      <c r="X251" s="21" t="n"/>
      <c r="Y251" s="21" t="n"/>
      <c r="Z251" s="21" t="n"/>
      <c r="AA251" s="21" t="n"/>
      <c r="AB251" s="23" t="n"/>
      <c r="AC251" s="23" t="n"/>
      <c r="AD251" s="7" t="n"/>
    </row>
    <row r="252" outlineLevel="1" ht="15" customFormat="1" customHeight="1" s="294">
      <c r="A252" s="70" t="n"/>
      <c r="C252" s="58" t="n"/>
      <c r="D252" s="58" t="n"/>
      <c r="E252" s="58" t="n"/>
      <c r="F252" s="56" t="n"/>
      <c r="G252" s="21" t="n"/>
      <c r="H252" s="21" t="n"/>
      <c r="I252" s="21" t="n"/>
      <c r="J252" s="21" t="n"/>
      <c r="K252" s="21" t="n"/>
      <c r="L252" s="21" t="n"/>
      <c r="M252" s="188" t="n"/>
      <c r="N252" s="260" t="inlineStr">
        <is>
          <t>RFP Details</t>
        </is>
      </c>
      <c r="O252" s="23" t="n"/>
      <c r="P252" s="21" t="n"/>
      <c r="Q252" s="21" t="n"/>
      <c r="R252" s="21" t="n"/>
      <c r="S252" s="21" t="n"/>
      <c r="T252" s="21" t="n"/>
      <c r="U252" s="21" t="n"/>
      <c r="V252" s="21" t="n"/>
      <c r="W252" s="21" t="n"/>
      <c r="X252" s="21" t="n"/>
      <c r="Y252" s="21" t="n"/>
      <c r="Z252" s="21" t="n"/>
      <c r="AA252" s="21" t="n"/>
      <c r="AB252" s="23" t="n"/>
      <c r="AC252" s="23" t="n"/>
      <c r="AD252" s="7" t="n"/>
    </row>
    <row r="253" outlineLevel="1" ht="14.25" customFormat="1" customHeight="1" s="294">
      <c r="A253" s="70" t="n"/>
      <c r="C253" s="56" t="n"/>
      <c r="D253" s="56" t="n"/>
      <c r="E253" s="56" t="n"/>
      <c r="F253" s="56" t="n"/>
      <c r="G253" s="21" t="n"/>
      <c r="H253" s="21" t="n"/>
      <c r="I253" s="21" t="n"/>
      <c r="J253" s="21" t="n"/>
      <c r="K253" s="21" t="n"/>
      <c r="L253" s="21" t="n"/>
      <c r="M253" s="188" t="n"/>
      <c r="N253" s="261" t="inlineStr">
        <is>
          <t>Client Name</t>
        </is>
      </c>
      <c r="O253" s="109" t="inlineStr">
        <is>
          <t>YCompany</t>
        </is>
      </c>
      <c r="P253" s="127" t="n"/>
      <c r="Q253" s="127" t="n"/>
      <c r="R253" s="109" t="n"/>
      <c r="S253" s="127" t="n"/>
      <c r="T253" s="127" t="n"/>
      <c r="U253" s="127" t="n"/>
      <c r="V253" s="127" t="n"/>
      <c r="W253" s="127" t="n"/>
      <c r="X253" s="21" t="n"/>
      <c r="Y253" s="21" t="n"/>
      <c r="Z253" s="21" t="n"/>
      <c r="AA253" s="21" t="n"/>
      <c r="AB253" s="21" t="n"/>
      <c r="AC253" s="23" t="n"/>
      <c r="AD253" s="7" t="n"/>
    </row>
    <row r="254" outlineLevel="1" ht="14.25" customFormat="1" customHeight="1" s="294">
      <c r="A254" s="70" t="n"/>
      <c r="C254" s="56" t="n"/>
      <c r="D254" s="56" t="n"/>
      <c r="E254" s="56" t="n"/>
      <c r="F254" s="56" t="n"/>
      <c r="G254" s="21" t="n"/>
      <c r="H254" s="21" t="n"/>
      <c r="I254" s="21" t="n"/>
      <c r="J254" s="21" t="n"/>
      <c r="K254" s="21" t="n"/>
      <c r="L254" s="21" t="n"/>
      <c r="M254" s="188" t="n"/>
      <c r="N254" s="261" t="inlineStr">
        <is>
          <t>Project Name</t>
        </is>
      </c>
      <c r="O254" s="109" t="inlineStr">
        <is>
          <t>Retail Inventory Management Software System (RIMSS)</t>
        </is>
      </c>
      <c r="P254" s="127" t="n"/>
      <c r="Q254" s="127" t="n"/>
      <c r="R254" s="127" t="n"/>
      <c r="S254" s="127" t="n"/>
      <c r="T254" s="127" t="n"/>
      <c r="U254" s="127" t="n"/>
      <c r="V254" s="127" t="n"/>
      <c r="W254" s="127" t="n"/>
      <c r="X254" s="21" t="n"/>
      <c r="Y254" s="21" t="n"/>
      <c r="Z254" s="21" t="n"/>
      <c r="AA254" s="21" t="n"/>
      <c r="AB254" s="21" t="n"/>
      <c r="AC254" s="23" t="n"/>
      <c r="AD254" s="7" t="n"/>
    </row>
    <row r="255" outlineLevel="1" ht="14.25" customFormat="1" customHeight="1" s="294">
      <c r="A255" s="70" t="n"/>
      <c r="C255" s="56" t="n"/>
      <c r="D255" s="56" t="n"/>
      <c r="E255" s="56" t="n"/>
      <c r="F255" s="56" t="n"/>
      <c r="G255" s="21" t="n"/>
      <c r="H255" s="21" t="n"/>
      <c r="I255" s="21" t="n"/>
      <c r="J255" s="21" t="n"/>
      <c r="K255" s="21" t="n"/>
      <c r="L255" s="21" t="n"/>
      <c r="M255" s="188" t="n"/>
      <c r="N255" s="261" t="inlineStr">
        <is>
          <t>Platform</t>
        </is>
      </c>
      <c r="O255" s="109" t="inlineStr">
        <is>
          <t>Web</t>
        </is>
      </c>
      <c r="P255" s="127" t="n"/>
      <c r="Q255" s="127" t="n"/>
      <c r="R255" s="127" t="n"/>
      <c r="S255" s="98" t="n"/>
      <c r="T255" s="98" t="n"/>
      <c r="U255" s="98" t="n"/>
      <c r="V255" s="127" t="n"/>
      <c r="W255" s="127" t="n"/>
      <c r="X255" s="21" t="n"/>
      <c r="Y255" s="21" t="n"/>
      <c r="Z255" s="21" t="n"/>
      <c r="AA255" s="21" t="n"/>
      <c r="AB255" s="21" t="n"/>
      <c r="AC255" s="23" t="n"/>
      <c r="AD255" s="7" t="n"/>
    </row>
    <row r="256" outlineLevel="1" ht="14.25" customFormat="1" customHeight="1" s="294">
      <c r="A256" s="70" t="n"/>
      <c r="C256" s="56" t="n"/>
      <c r="D256" s="56" t="n"/>
      <c r="E256" s="56" t="n"/>
      <c r="F256" s="56" t="n"/>
      <c r="G256" s="21" t="n"/>
      <c r="H256" s="21" t="n"/>
      <c r="I256" s="21" t="n"/>
      <c r="J256" s="21" t="n"/>
      <c r="K256" s="21" t="n"/>
      <c r="L256" s="21" t="n"/>
      <c r="M256" s="188" t="n"/>
      <c r="N256" s="261" t="inlineStr">
        <is>
          <t>Project Type</t>
        </is>
      </c>
      <c r="O256" s="109" t="inlineStr">
        <is>
          <t>Development</t>
        </is>
      </c>
      <c r="P256" s="127" t="n"/>
      <c r="Q256" s="127" t="n"/>
      <c r="R256" s="127" t="n"/>
      <c r="S256" s="98" t="n"/>
      <c r="T256" s="98" t="n"/>
      <c r="U256" s="98" t="n"/>
      <c r="V256" s="127" t="n"/>
      <c r="W256" s="127" t="n"/>
      <c r="X256" s="21" t="n"/>
      <c r="Y256" s="21" t="n"/>
      <c r="Z256" s="21" t="n"/>
      <c r="AA256" s="21" t="n"/>
      <c r="AB256" s="21" t="n"/>
      <c r="AC256" s="23" t="n"/>
      <c r="AD256" s="7" t="n"/>
    </row>
    <row r="257" outlineLevel="1" ht="14.25" customFormat="1" customHeight="1" s="294">
      <c r="A257" s="70" t="n"/>
      <c r="C257" s="56" t="n"/>
      <c r="D257" s="56" t="n"/>
      <c r="E257" s="56" t="n"/>
      <c r="F257" s="56" t="n"/>
      <c r="G257" s="21" t="n"/>
      <c r="H257" s="21" t="n"/>
      <c r="I257" s="21" t="n"/>
      <c r="J257" s="21" t="n"/>
      <c r="K257" s="21" t="n"/>
      <c r="L257" s="21" t="n"/>
      <c r="M257" s="188" t="n"/>
      <c r="N257" s="261" t="inlineStr">
        <is>
          <t>RFP Name</t>
        </is>
      </c>
      <c r="O257" s="109" t="inlineStr">
        <is>
          <t>YCompany RIMSS Storefront</t>
        </is>
      </c>
      <c r="P257" s="127" t="n"/>
      <c r="Q257" s="127" t="n"/>
      <c r="R257" s="127" t="n"/>
      <c r="S257" s="98" t="n"/>
      <c r="T257" s="98" t="n"/>
      <c r="U257" s="98" t="n"/>
      <c r="V257" s="127" t="n"/>
      <c r="W257" s="127" t="n"/>
      <c r="X257" s="21" t="n"/>
      <c r="Y257" s="21" t="n"/>
      <c r="Z257" s="21" t="n"/>
      <c r="AA257" s="21" t="n"/>
      <c r="AB257" s="21" t="n"/>
      <c r="AC257" s="23" t="n"/>
      <c r="AD257" s="7" t="n"/>
    </row>
    <row r="258" outlineLevel="1" ht="14.25" customFormat="1" customHeight="1" s="294">
      <c r="A258" s="70" t="n"/>
      <c r="C258" s="56" t="n"/>
      <c r="D258" s="56" t="n"/>
      <c r="E258" s="56" t="n"/>
      <c r="F258" s="56" t="n"/>
      <c r="G258" s="21" t="n"/>
      <c r="H258" s="21" t="n"/>
      <c r="I258" s="21" t="n"/>
      <c r="J258" s="21" t="n"/>
      <c r="K258" s="21" t="n"/>
      <c r="L258" s="21" t="n"/>
      <c r="M258" s="188" t="n"/>
      <c r="N258" s="261" t="inlineStr">
        <is>
          <t>Is Key Opp?</t>
        </is>
      </c>
      <c r="O258" s="109" t="inlineStr">
        <is>
          <t>Yes</t>
        </is>
      </c>
      <c r="P258" s="127" t="n"/>
      <c r="Q258" s="127" t="n"/>
      <c r="R258" s="109" t="n"/>
      <c r="S258" s="98" t="n"/>
      <c r="T258" s="98" t="n"/>
      <c r="U258" s="98" t="n"/>
      <c r="V258" s="127" t="n"/>
      <c r="W258" s="127" t="n"/>
      <c r="X258" s="21" t="n"/>
      <c r="Y258" s="21" t="n"/>
      <c r="Z258" s="21" t="n"/>
      <c r="AA258" s="21" t="n"/>
      <c r="AB258" s="21" t="n"/>
      <c r="AC258" s="23" t="n"/>
      <c r="AD258" s="7" t="n"/>
    </row>
    <row r="259" outlineLevel="1" ht="14.25" customFormat="1" customHeight="1" s="294">
      <c r="A259" s="70" t="n"/>
      <c r="C259" s="56" t="n"/>
      <c r="D259" s="56" t="n"/>
      <c r="E259" s="56" t="n"/>
      <c r="F259" s="56" t="n"/>
      <c r="G259" s="21" t="n"/>
      <c r="H259" s="21" t="n"/>
      <c r="I259" s="21" t="n"/>
      <c r="J259" s="21" t="n"/>
      <c r="K259" s="21" t="n"/>
      <c r="L259" s="21" t="n"/>
      <c r="M259" s="188" t="n"/>
      <c r="N259" s="261" t="inlineStr">
        <is>
          <t>Geography</t>
        </is>
      </c>
      <c r="O259" s="109" t="inlineStr">
        <is>
          <t>USA</t>
        </is>
      </c>
      <c r="P259" s="127" t="n"/>
      <c r="Q259" s="127" t="n"/>
      <c r="R259" s="127" t="n"/>
      <c r="S259" s="98" t="n"/>
      <c r="T259" s="98" t="n"/>
      <c r="U259" s="98" t="n"/>
      <c r="V259" s="127" t="n"/>
      <c r="W259" s="127" t="n"/>
      <c r="X259" s="21" t="n"/>
      <c r="Y259" s="21" t="n"/>
      <c r="Z259" s="21" t="n"/>
      <c r="AA259" s="21" t="n"/>
      <c r="AB259" s="21" t="n"/>
      <c r="AC259" s="23" t="n"/>
      <c r="AD259" s="7" t="n"/>
    </row>
    <row r="260" outlineLevel="1" ht="14.25" customFormat="1" customHeight="1" s="294">
      <c r="A260" s="70" t="n"/>
      <c r="C260" s="56" t="n"/>
      <c r="D260" s="56" t="n"/>
      <c r="E260" s="56" t="n"/>
      <c r="F260" s="56" t="n"/>
      <c r="G260" s="21" t="n"/>
      <c r="H260" s="21" t="n"/>
      <c r="I260" s="21" t="n"/>
      <c r="J260" s="21" t="n"/>
      <c r="K260" s="21" t="n"/>
      <c r="L260" s="21" t="n"/>
      <c r="M260" s="188" t="n"/>
      <c r="N260" s="261" t="inlineStr">
        <is>
          <t>Currency</t>
        </is>
      </c>
      <c r="O260" s="109" t="inlineStr">
        <is>
          <t>USD</t>
        </is>
      </c>
      <c r="P260" s="127" t="n"/>
      <c r="Q260" s="127" t="n"/>
      <c r="R260" s="127" t="n"/>
      <c r="S260" s="98" t="n"/>
      <c r="T260" s="98" t="n"/>
      <c r="U260" s="98" t="n"/>
      <c r="V260" s="127" t="n"/>
      <c r="W260" s="127" t="n"/>
      <c r="X260" s="21" t="n"/>
      <c r="Y260" s="21" t="n"/>
      <c r="Z260" s="21" t="n"/>
      <c r="AA260" s="21" t="n"/>
      <c r="AB260" s="21" t="n"/>
      <c r="AC260" s="23" t="n"/>
      <c r="AD260" s="7" t="n"/>
    </row>
    <row r="261" outlineLevel="1" ht="14.25" customFormat="1" customHeight="1" s="294">
      <c r="A261" s="70" t="n"/>
      <c r="C261" s="56" t="n"/>
      <c r="D261" s="56" t="n"/>
      <c r="E261" s="56" t="n"/>
      <c r="F261" s="56" t="n"/>
      <c r="G261" s="21" t="n"/>
      <c r="H261" s="21" t="n"/>
      <c r="I261" s="21" t="n"/>
      <c r="J261" s="21" t="n"/>
      <c r="K261" s="21" t="n"/>
      <c r="L261" s="21" t="n"/>
      <c r="M261" s="188" t="n"/>
      <c r="N261" s="110" t="n"/>
      <c r="O261" s="21" t="n"/>
      <c r="P261" s="21" t="n"/>
      <c r="Q261" s="21" t="n"/>
      <c r="R261" s="21" t="n"/>
      <c r="S261" s="97" t="n"/>
      <c r="T261" s="97" t="n"/>
      <c r="U261" s="97" t="n"/>
      <c r="V261" s="97" t="n"/>
      <c r="W261" s="97" t="n"/>
      <c r="X261" s="21" t="n"/>
      <c r="Y261" s="21" t="n"/>
      <c r="Z261" s="21" t="n"/>
      <c r="AA261" s="21" t="n"/>
      <c r="AB261" s="97" t="n"/>
      <c r="AC261" s="23" t="n"/>
      <c r="AD261" s="7" t="n"/>
    </row>
    <row r="262" outlineLevel="1" ht="15" customFormat="1" customHeight="1" s="294">
      <c r="A262" s="70" t="n"/>
      <c r="C262" s="58" t="n"/>
      <c r="D262" s="58" t="n"/>
      <c r="E262" s="58" t="n"/>
      <c r="F262" s="56" t="n"/>
      <c r="G262" s="21" t="n"/>
      <c r="H262" s="21" t="n"/>
      <c r="I262" s="21" t="n"/>
      <c r="J262" s="21" t="n"/>
      <c r="K262" s="21" t="n"/>
      <c r="L262" s="21" t="n"/>
      <c r="M262" s="188" t="n"/>
      <c r="N262" s="330">
        <f>"Total effort is "&amp;TEXT(TOTAL_EFFORT,"##,##,###")&amp;" PDs. How much up or down it can safely be without being way off?"</f>
        <v/>
      </c>
      <c r="O262" s="260" t="inlineStr">
        <is>
          <t>Minimum (-)</t>
        </is>
      </c>
      <c r="P262" s="260" t="inlineStr">
        <is>
          <t>Maximum (+)</t>
        </is>
      </c>
      <c r="Q262" s="21" t="n"/>
      <c r="R262" s="21" t="n"/>
      <c r="S262" s="97" t="n"/>
      <c r="T262" s="97" t="n"/>
      <c r="U262" s="97" t="n"/>
      <c r="V262" s="97" t="n"/>
      <c r="W262" s="97" t="n"/>
      <c r="X262" s="21" t="n"/>
      <c r="Y262" s="21" t="n"/>
      <c r="Z262" s="21" t="n"/>
      <c r="AA262" s="21" t="n"/>
      <c r="AB262" s="23" t="n"/>
      <c r="AC262" s="23" t="n"/>
      <c r="AD262" s="7" t="n"/>
    </row>
    <row r="263" outlineLevel="1" ht="15" customFormat="1" customHeight="1" s="294">
      <c r="A263" s="70" t="n"/>
      <c r="C263" s="58" t="n"/>
      <c r="D263" s="58" t="n"/>
      <c r="E263" s="58" t="n"/>
      <c r="F263" s="56" t="n"/>
      <c r="G263" s="21" t="n"/>
      <c r="H263" s="21" t="n"/>
      <c r="I263" s="21" t="n"/>
      <c r="J263" s="21" t="n"/>
      <c r="K263" s="21" t="n"/>
      <c r="L263" s="21" t="n"/>
      <c r="M263" s="188" t="n"/>
      <c r="N263" s="302" t="n"/>
      <c r="O263" s="106" t="n">
        <v>-0.2</v>
      </c>
      <c r="P263" s="107" t="n">
        <v>0.2</v>
      </c>
      <c r="Q263" s="21" t="n"/>
      <c r="R263" s="21" t="n"/>
      <c r="S263" s="97" t="n"/>
      <c r="T263" s="97" t="n"/>
      <c r="U263" s="97" t="n"/>
      <c r="V263" s="97" t="n"/>
      <c r="W263" s="97" t="n"/>
      <c r="X263" s="21" t="n"/>
      <c r="Y263" s="21" t="n"/>
      <c r="Z263" s="21" t="n"/>
      <c r="AA263" s="21" t="n"/>
      <c r="AB263" s="23" t="n"/>
      <c r="AC263" s="23" t="n"/>
      <c r="AD263" s="7" t="n"/>
    </row>
    <row r="264" outlineLevel="1" customFormat="1" s="294">
      <c r="A264" s="70" t="n"/>
      <c r="C264" s="58" t="n"/>
      <c r="D264" s="58" t="n"/>
      <c r="E264" s="58" t="n"/>
      <c r="F264" s="56" t="n"/>
      <c r="G264" s="21" t="n"/>
      <c r="H264" s="21" t="n"/>
      <c r="I264" s="21" t="n"/>
      <c r="J264" s="21" t="n"/>
      <c r="K264" s="21" t="n"/>
      <c r="L264" s="21" t="n"/>
      <c r="M264" s="188" t="n"/>
      <c r="N264" s="302" t="n"/>
      <c r="O264" s="23" t="n"/>
      <c r="P264" s="21" t="n"/>
      <c r="Q264" s="21" t="n"/>
      <c r="R264" s="21" t="n"/>
      <c r="S264" s="21" t="n"/>
      <c r="T264" s="21" t="n"/>
      <c r="U264" s="21" t="n"/>
      <c r="V264" s="21" t="n"/>
      <c r="W264" s="21" t="n"/>
      <c r="X264" s="21" t="n"/>
      <c r="Y264" s="21" t="n"/>
      <c r="Z264" s="21" t="n"/>
      <c r="AA264" s="21" t="n"/>
      <c r="AB264" s="23" t="n"/>
      <c r="AC264" s="23" t="n"/>
      <c r="AD264" s="7" t="n"/>
    </row>
    <row r="265" outlineLevel="1" customFormat="1" s="294">
      <c r="A265" s="70" t="n"/>
      <c r="C265" s="58" t="n"/>
      <c r="D265" s="58" t="n"/>
      <c r="E265" s="58" t="n"/>
      <c r="F265" s="56" t="n"/>
      <c r="G265" s="21" t="n"/>
      <c r="H265" s="21" t="n"/>
      <c r="I265" s="21" t="n"/>
      <c r="J265" s="21" t="n"/>
      <c r="K265" s="21" t="n"/>
      <c r="L265" s="21" t="n"/>
      <c r="M265" s="188" t="n"/>
      <c r="N265" s="262" t="inlineStr">
        <is>
          <t>Inbuilt Names (to use in Formula)</t>
        </is>
      </c>
      <c r="O265" s="97" t="n"/>
      <c r="P265" s="263" t="inlineStr">
        <is>
          <t>Special Unit Names</t>
        </is>
      </c>
      <c r="Q265" s="21" t="n"/>
      <c r="R265" s="21" t="n"/>
      <c r="S265" s="21" t="n"/>
      <c r="T265" s="21" t="n"/>
      <c r="U265" s="21" t="n"/>
      <c r="V265" s="21" t="n"/>
      <c r="W265" s="21" t="n"/>
      <c r="X265" s="21" t="n"/>
      <c r="Y265" s="21" t="n"/>
      <c r="Z265" s="21" t="n"/>
      <c r="AA265" s="21" t="n"/>
      <c r="AB265" s="23" t="n"/>
      <c r="AC265" s="23" t="n"/>
      <c r="AD265" s="7" t="n"/>
    </row>
    <row r="266" outlineLevel="1" customFormat="1" s="294">
      <c r="A266" s="70" t="n"/>
      <c r="C266" s="58" t="n"/>
      <c r="D266" s="58" t="n"/>
      <c r="E266" s="58" t="n"/>
      <c r="F266" s="56" t="n"/>
      <c r="G266" s="21" t="n"/>
      <c r="H266" s="21" t="n"/>
      <c r="I266" s="21" t="n"/>
      <c r="J266" s="21" t="n"/>
      <c r="K266" s="21" t="n"/>
      <c r="L266" s="21" t="n"/>
      <c r="M266" s="188" t="n"/>
      <c r="N266" s="264" t="inlineStr">
        <is>
          <t>TOTAL_COST</t>
        </is>
      </c>
      <c r="O266" s="21" t="n"/>
      <c r="P266" s="265" t="inlineStr">
        <is>
          <t>As Dev Effort %</t>
        </is>
      </c>
      <c r="Q266" s="266" t="inlineStr">
        <is>
          <t>(Do not use inside development phase)</t>
        </is>
      </c>
      <c r="R266" s="21" t="n"/>
      <c r="S266" s="21" t="n"/>
      <c r="T266" s="21" t="n"/>
      <c r="U266" s="21" t="n"/>
      <c r="V266" s="21" t="n"/>
      <c r="W266" s="21" t="n"/>
      <c r="X266" s="21" t="n"/>
      <c r="Y266" s="21" t="n"/>
      <c r="Z266" s="21" t="n"/>
      <c r="AA266" s="21" t="n"/>
      <c r="AB266" s="21" t="n"/>
      <c r="AC266" s="23" t="n"/>
      <c r="AD266" s="7" t="n"/>
    </row>
    <row r="267" outlineLevel="1" customFormat="1" s="294">
      <c r="A267" s="70" t="n"/>
      <c r="C267" s="58" t="n"/>
      <c r="D267" s="58" t="n"/>
      <c r="E267" s="58" t="n"/>
      <c r="F267" s="56" t="n"/>
      <c r="G267" s="21" t="n"/>
      <c r="H267" s="21" t="n"/>
      <c r="I267" s="21" t="n"/>
      <c r="J267" s="21" t="n"/>
      <c r="K267" s="21" t="n"/>
      <c r="L267" s="21" t="n"/>
      <c r="M267" s="188" t="n"/>
      <c r="N267" s="264" t="inlineStr">
        <is>
          <t>REQ_COST</t>
        </is>
      </c>
      <c r="O267" s="21" t="n"/>
      <c r="P267" s="265" t="inlineStr">
        <is>
          <t>As Duration %</t>
        </is>
      </c>
      <c r="Q267" s="266" t="inlineStr">
        <is>
          <t>(Uses manual duration)</t>
        </is>
      </c>
      <c r="R267" s="21" t="n"/>
      <c r="S267" s="21" t="n"/>
      <c r="T267" s="21" t="n"/>
      <c r="U267" s="21" t="n"/>
      <c r="V267" s="21" t="n"/>
      <c r="W267" s="21" t="n"/>
      <c r="X267" s="21" t="n"/>
      <c r="Y267" s="21" t="n"/>
      <c r="Z267" s="21" t="n"/>
      <c r="AA267" s="21" t="n"/>
      <c r="AB267" s="21" t="n"/>
      <c r="AC267" s="23" t="n"/>
      <c r="AD267" s="7" t="n"/>
    </row>
    <row r="268" outlineLevel="1" customFormat="1" s="294">
      <c r="A268" s="70" t="n"/>
      <c r="C268" s="58" t="n"/>
      <c r="D268" s="58" t="n"/>
      <c r="E268" s="58" t="n"/>
      <c r="F268" s="56" t="n"/>
      <c r="G268" s="21" t="n"/>
      <c r="H268" s="21" t="n"/>
      <c r="I268" s="21" t="n"/>
      <c r="J268" s="21" t="n"/>
      <c r="K268" s="21" t="n"/>
      <c r="L268" s="21" t="n"/>
      <c r="M268" s="188" t="n"/>
      <c r="N268" s="264" t="inlineStr">
        <is>
          <t>DESIGN_COST</t>
        </is>
      </c>
      <c r="O268" s="21" t="n"/>
      <c r="P268" s="21" t="n"/>
      <c r="Q268" s="21" t="n"/>
      <c r="R268" s="21" t="n"/>
      <c r="S268" s="21" t="n"/>
      <c r="T268" s="21" t="n"/>
      <c r="U268" s="111" t="n"/>
      <c r="V268" s="21" t="n"/>
      <c r="W268" s="21" t="n"/>
      <c r="X268" s="21" t="n"/>
      <c r="Y268" s="21" t="n"/>
      <c r="Z268" s="21" t="n"/>
      <c r="AA268" s="21" t="n"/>
      <c r="AB268" s="21" t="n"/>
      <c r="AC268" s="23" t="n"/>
      <c r="AD268" s="7" t="n"/>
    </row>
    <row r="269" outlineLevel="1" ht="15" customFormat="1" customHeight="1" s="294">
      <c r="A269" s="70" t="n"/>
      <c r="C269" s="58" t="n"/>
      <c r="D269" s="58" t="n"/>
      <c r="E269" s="58" t="n"/>
      <c r="F269" s="56" t="n"/>
      <c r="G269" s="21" t="n"/>
      <c r="H269" s="21" t="n"/>
      <c r="I269" s="21" t="n"/>
      <c r="J269" s="21" t="n"/>
      <c r="K269" s="21" t="n"/>
      <c r="L269" s="21" t="n"/>
      <c r="M269" s="188" t="n"/>
      <c r="N269" s="264" t="inlineStr">
        <is>
          <t>DEV_COST</t>
        </is>
      </c>
      <c r="O269" s="21" t="n"/>
      <c r="P269" s="21" t="n"/>
      <c r="Q269" s="21" t="n"/>
      <c r="R269" s="21" t="n"/>
      <c r="S269" s="21" t="n"/>
      <c r="T269" s="21" t="n"/>
      <c r="U269" s="21" t="n"/>
      <c r="V269" s="21" t="n"/>
      <c r="W269" s="21" t="n"/>
      <c r="X269" s="21" t="n"/>
      <c r="Y269" s="21" t="n"/>
      <c r="Z269" s="21" t="n"/>
      <c r="AA269" s="21" t="n"/>
      <c r="AB269" s="21" t="n"/>
      <c r="AC269" s="23" t="n"/>
      <c r="AD269" s="7" t="n"/>
    </row>
    <row r="270" outlineLevel="1" customFormat="1" s="294">
      <c r="A270" s="70" t="n"/>
      <c r="C270" s="58" t="n"/>
      <c r="D270" s="58" t="n"/>
      <c r="E270" s="58" t="n"/>
      <c r="F270" s="56" t="n"/>
      <c r="G270" s="21" t="n"/>
      <c r="H270" s="21" t="n"/>
      <c r="I270" s="21" t="n"/>
      <c r="J270" s="21" t="n"/>
      <c r="K270" s="21" t="n"/>
      <c r="L270" s="21" t="n"/>
      <c r="M270" s="188" t="n"/>
      <c r="N270" s="264" t="inlineStr">
        <is>
          <t>QA_COST</t>
        </is>
      </c>
      <c r="O270" s="21" t="n"/>
      <c r="P270" s="21" t="n"/>
      <c r="Q270" s="21" t="n"/>
      <c r="R270" s="21" t="n"/>
      <c r="S270" s="21" t="n"/>
      <c r="T270" s="21" t="n"/>
      <c r="U270" s="21" t="n"/>
      <c r="V270" s="21" t="n"/>
      <c r="W270" s="21" t="n"/>
      <c r="X270" s="21" t="n"/>
      <c r="Y270" s="21" t="n"/>
      <c r="Z270" s="21" t="n"/>
      <c r="AA270" s="21" t="n"/>
      <c r="AB270" s="21" t="n"/>
      <c r="AC270" s="23" t="n"/>
      <c r="AD270" s="7" t="n"/>
    </row>
    <row r="271" outlineLevel="1" customFormat="1" s="294">
      <c r="A271" s="70" t="n"/>
      <c r="C271" s="58" t="n"/>
      <c r="D271" s="58" t="n"/>
      <c r="E271" s="58" t="n"/>
      <c r="F271" s="56" t="n"/>
      <c r="G271" s="21" t="n"/>
      <c r="H271" s="21" t="n"/>
      <c r="I271" s="21" t="n"/>
      <c r="J271" s="21" t="n"/>
      <c r="K271" s="21" t="n"/>
      <c r="L271" s="21" t="n"/>
      <c r="M271" s="188" t="n"/>
      <c r="N271" s="264" t="inlineStr">
        <is>
          <t>UAT_COST</t>
        </is>
      </c>
      <c r="O271" s="21" t="n"/>
      <c r="P271" s="21" t="n"/>
      <c r="Q271" s="21" t="n"/>
      <c r="R271" s="21" t="n"/>
      <c r="S271" s="21" t="n"/>
      <c r="T271" s="21" t="n"/>
      <c r="U271" s="21" t="n"/>
      <c r="V271" s="21" t="n"/>
      <c r="W271" s="21" t="n"/>
      <c r="X271" s="21" t="n"/>
      <c r="Y271" s="21" t="n"/>
      <c r="Z271" s="21" t="n"/>
      <c r="AA271" s="21" t="n"/>
      <c r="AB271" s="21" t="n"/>
      <c r="AC271" s="23" t="n"/>
      <c r="AD271" s="7" t="n"/>
    </row>
    <row r="272" outlineLevel="1" customFormat="1" s="294">
      <c r="A272" s="70" t="n"/>
      <c r="C272" s="58" t="n"/>
      <c r="D272" s="58" t="n"/>
      <c r="E272" s="58" t="n"/>
      <c r="F272" s="56" t="n"/>
      <c r="G272" s="21" t="n"/>
      <c r="H272" s="21" t="n"/>
      <c r="I272" s="21" t="n"/>
      <c r="J272" s="21" t="n"/>
      <c r="K272" s="21" t="n"/>
      <c r="L272" s="21" t="n"/>
      <c r="M272" s="188" t="n"/>
      <c r="N272" s="264" t="inlineStr">
        <is>
          <t>OTHER_COST</t>
        </is>
      </c>
      <c r="O272" s="21" t="n"/>
      <c r="P272" s="21" t="n"/>
      <c r="Q272" s="21" t="n"/>
      <c r="R272" s="21" t="n"/>
      <c r="S272" s="21" t="n"/>
      <c r="T272" s="21" t="n"/>
      <c r="U272" s="21" t="n"/>
      <c r="V272" s="21" t="n"/>
      <c r="W272" s="21" t="n"/>
      <c r="X272" s="21" t="n"/>
      <c r="Y272" s="21" t="n"/>
      <c r="Z272" s="21" t="n"/>
      <c r="AA272" s="21" t="n"/>
      <c r="AB272" s="21" t="n"/>
      <c r="AC272" s="23" t="n"/>
      <c r="AD272" s="7" t="n"/>
    </row>
    <row r="273" outlineLevel="1" customFormat="1" s="294">
      <c r="A273" s="70" t="n"/>
      <c r="C273" s="58" t="n"/>
      <c r="D273" s="58" t="n"/>
      <c r="E273" s="58" t="n"/>
      <c r="F273" s="56" t="n"/>
      <c r="G273" s="21" t="n"/>
      <c r="H273" s="21" t="n"/>
      <c r="I273" s="21" t="n"/>
      <c r="J273" s="21" t="n"/>
      <c r="K273" s="21" t="n"/>
      <c r="L273" s="21" t="n"/>
      <c r="M273" s="188" t="n"/>
      <c r="N273" s="264" t="inlineStr">
        <is>
          <t>TOTAL_EFFORT</t>
        </is>
      </c>
      <c r="O273" s="23" t="n"/>
      <c r="P273" s="99" t="n"/>
      <c r="Q273" s="21" t="n"/>
      <c r="R273" s="21" t="n"/>
      <c r="S273" s="21" t="n"/>
      <c r="T273" s="21" t="n"/>
      <c r="U273" s="21" t="n"/>
      <c r="V273" s="21" t="n"/>
      <c r="W273" s="21" t="n"/>
      <c r="X273" s="21" t="n"/>
      <c r="Y273" s="21" t="n"/>
      <c r="Z273" s="21" t="n"/>
      <c r="AA273" s="21" t="n"/>
      <c r="AB273" s="21" t="n"/>
      <c r="AC273" s="23" t="n"/>
      <c r="AD273" s="7" t="n"/>
    </row>
    <row r="274" outlineLevel="1" customFormat="1" s="294">
      <c r="A274" s="70" t="n"/>
      <c r="C274" s="58" t="n"/>
      <c r="D274" s="58" t="n"/>
      <c r="E274" s="58" t="n"/>
      <c r="F274" s="56" t="n"/>
      <c r="G274" s="21" t="n"/>
      <c r="H274" s="21" t="n"/>
      <c r="I274" s="21" t="n"/>
      <c r="J274" s="21" t="n"/>
      <c r="K274" s="21" t="n"/>
      <c r="L274" s="21" t="n"/>
      <c r="M274" s="188" t="n"/>
      <c r="N274" s="264" t="inlineStr">
        <is>
          <t>REQ_EFFORT</t>
        </is>
      </c>
      <c r="O274" s="23" t="n"/>
      <c r="P274" s="21" t="n"/>
      <c r="Q274" s="21" t="n"/>
      <c r="R274" s="21" t="n"/>
      <c r="S274" s="21" t="n"/>
      <c r="T274" s="21" t="n"/>
      <c r="U274" s="21" t="n"/>
      <c r="V274" s="21" t="n"/>
      <c r="W274" s="21" t="n"/>
      <c r="X274" s="21" t="n"/>
      <c r="Y274" s="21" t="n"/>
      <c r="Z274" s="21" t="n"/>
      <c r="AA274" s="21" t="n"/>
      <c r="AB274" s="21" t="n"/>
      <c r="AC274" s="23" t="n"/>
      <c r="AD274" s="7" t="n"/>
    </row>
    <row r="275" outlineLevel="1" customFormat="1" s="294">
      <c r="A275" s="70" t="n"/>
      <c r="C275" s="58" t="n"/>
      <c r="D275" s="58" t="n"/>
      <c r="E275" s="58" t="n"/>
      <c r="F275" s="56" t="n"/>
      <c r="G275" s="21" t="n"/>
      <c r="H275" s="21" t="n"/>
      <c r="I275" s="21" t="n"/>
      <c r="J275" s="21" t="n"/>
      <c r="K275" s="21" t="n"/>
      <c r="L275" s="21" t="n"/>
      <c r="M275" s="188" t="n"/>
      <c r="N275" s="264" t="inlineStr">
        <is>
          <t>DESIGN_EFFORT</t>
        </is>
      </c>
      <c r="O275" s="23" t="n"/>
      <c r="P275" s="21" t="n"/>
      <c r="Q275" s="21" t="n"/>
      <c r="R275" s="21" t="n"/>
      <c r="S275" s="21" t="n"/>
      <c r="T275" s="21" t="n"/>
      <c r="U275" s="21" t="n"/>
      <c r="V275" s="21" t="n"/>
      <c r="W275" s="21" t="n"/>
      <c r="X275" s="21" t="n"/>
      <c r="Y275" s="21" t="n"/>
      <c r="Z275" s="21" t="n"/>
      <c r="AA275" s="21" t="n"/>
      <c r="AB275" s="21" t="n"/>
      <c r="AC275" s="23" t="n"/>
      <c r="AD275" s="7" t="n"/>
    </row>
    <row r="276" outlineLevel="1" customFormat="1" s="294">
      <c r="A276" s="70" t="n"/>
      <c r="C276" s="58" t="n"/>
      <c r="D276" s="58" t="n"/>
      <c r="E276" s="58" t="n"/>
      <c r="F276" s="56" t="n"/>
      <c r="G276" s="21" t="n"/>
      <c r="H276" s="21" t="n"/>
      <c r="I276" s="21" t="n"/>
      <c r="J276" s="21" t="n"/>
      <c r="K276" s="21" t="n"/>
      <c r="L276" s="21" t="n"/>
      <c r="M276" s="188" t="n"/>
      <c r="N276" s="264" t="inlineStr">
        <is>
          <t>DEV_EFFORT</t>
        </is>
      </c>
      <c r="O276" s="23" t="n"/>
      <c r="P276" s="21" t="n"/>
      <c r="Q276" s="21" t="n"/>
      <c r="R276" s="21" t="n"/>
      <c r="S276" s="21" t="n"/>
      <c r="T276" s="21" t="n"/>
      <c r="U276" s="21" t="n"/>
      <c r="V276" s="21" t="n"/>
      <c r="W276" s="21" t="n"/>
      <c r="X276" s="21" t="n"/>
      <c r="Y276" s="21" t="n"/>
      <c r="Z276" s="21" t="n"/>
      <c r="AA276" s="21" t="n"/>
      <c r="AB276" s="21" t="n"/>
      <c r="AC276" s="23" t="n"/>
      <c r="AD276" s="7" t="n"/>
    </row>
    <row r="277" outlineLevel="1" customFormat="1" s="294">
      <c r="A277" s="70" t="n"/>
      <c r="C277" s="58" t="n"/>
      <c r="D277" s="58" t="n"/>
      <c r="E277" s="58" t="n"/>
      <c r="F277" s="56" t="n"/>
      <c r="G277" s="21" t="n"/>
      <c r="H277" s="21" t="n"/>
      <c r="I277" s="21" t="n"/>
      <c r="J277" s="21" t="n"/>
      <c r="K277" s="21" t="n"/>
      <c r="L277" s="21" t="n"/>
      <c r="M277" s="188" t="n"/>
      <c r="N277" s="264" t="inlineStr">
        <is>
          <t>QA_EFFORT</t>
        </is>
      </c>
      <c r="O277" s="23" t="n"/>
      <c r="P277" s="21" t="n"/>
      <c r="Q277" s="21" t="n"/>
      <c r="R277" s="21" t="n"/>
      <c r="S277" s="21" t="n"/>
      <c r="T277" s="21" t="n"/>
      <c r="U277" s="21" t="n"/>
      <c r="V277" s="21" t="n"/>
      <c r="W277" s="21" t="n"/>
      <c r="X277" s="21" t="n"/>
      <c r="Y277" s="21" t="n"/>
      <c r="Z277" s="21" t="n"/>
      <c r="AA277" s="21" t="n"/>
      <c r="AB277" s="21" t="n"/>
      <c r="AC277" s="23" t="n"/>
      <c r="AD277" s="7" t="n"/>
    </row>
    <row r="278" outlineLevel="1" customFormat="1" s="294">
      <c r="A278" s="70" t="n"/>
      <c r="C278" s="58" t="n"/>
      <c r="D278" s="58" t="n"/>
      <c r="E278" s="58" t="n"/>
      <c r="F278" s="56" t="n"/>
      <c r="G278" s="21" t="n"/>
      <c r="H278" s="21" t="n"/>
      <c r="I278" s="21" t="n"/>
      <c r="J278" s="21" t="n"/>
      <c r="K278" s="21" t="n"/>
      <c r="L278" s="21" t="n"/>
      <c r="M278" s="188" t="n"/>
      <c r="N278" s="264" t="inlineStr">
        <is>
          <t>UAT_EFFORT</t>
        </is>
      </c>
      <c r="O278" s="23" t="n"/>
      <c r="P278" s="21" t="n"/>
      <c r="Q278" s="21" t="n"/>
      <c r="R278" s="21" t="n"/>
      <c r="S278" s="21" t="n"/>
      <c r="T278" s="21" t="n"/>
      <c r="U278" s="21" t="n"/>
      <c r="V278" s="21" t="n"/>
      <c r="W278" s="21" t="n"/>
      <c r="X278" s="21" t="n"/>
      <c r="Y278" s="21" t="n"/>
      <c r="Z278" s="21" t="n"/>
      <c r="AA278" s="21" t="n"/>
      <c r="AB278" s="21" t="n"/>
      <c r="AC278" s="23" t="n"/>
      <c r="AD278" s="7" t="n"/>
    </row>
    <row r="279" outlineLevel="1" customFormat="1" s="294">
      <c r="A279" s="70" t="n"/>
      <c r="C279" s="58" t="n"/>
      <c r="D279" s="58" t="n"/>
      <c r="E279" s="58" t="n"/>
      <c r="F279" s="56" t="n"/>
      <c r="G279" s="21" t="n"/>
      <c r="H279" s="21" t="n"/>
      <c r="I279" s="21" t="n"/>
      <c r="J279" s="21" t="n"/>
      <c r="K279" s="21" t="n"/>
      <c r="L279" s="21" t="n"/>
      <c r="M279" s="188" t="n"/>
      <c r="N279" s="264" t="inlineStr">
        <is>
          <t>OTHER_EFFORT</t>
        </is>
      </c>
      <c r="O279" s="23" t="n"/>
      <c r="P279" s="21" t="n"/>
      <c r="Q279" s="21" t="n"/>
      <c r="R279" s="21" t="n"/>
      <c r="S279" s="21" t="n"/>
      <c r="T279" s="21" t="n"/>
      <c r="U279" s="21" t="n"/>
      <c r="V279" s="21" t="n"/>
      <c r="W279" s="21" t="n"/>
      <c r="X279" s="21" t="n"/>
      <c r="Y279" s="21" t="n"/>
      <c r="Z279" s="21" t="n"/>
      <c r="AA279" s="21" t="n"/>
      <c r="AB279" s="21" t="n"/>
      <c r="AC279" s="23" t="n"/>
      <c r="AD279" s="7" t="n"/>
    </row>
    <row r="280" outlineLevel="1" customFormat="1" s="294">
      <c r="A280" s="70" t="n"/>
      <c r="C280" s="58" t="n"/>
      <c r="D280" s="58" t="n"/>
      <c r="E280" s="58" t="n"/>
      <c r="F280" s="56" t="n"/>
      <c r="G280" s="21" t="n"/>
      <c r="H280" s="21" t="n"/>
      <c r="I280" s="21" t="n"/>
      <c r="J280" s="21" t="n"/>
      <c r="K280" s="21" t="n"/>
      <c r="L280" s="21" t="n"/>
      <c r="M280" s="188" t="n"/>
      <c r="N280" s="264" t="inlineStr">
        <is>
          <t>TOTAL_WEEKS</t>
        </is>
      </c>
      <c r="O280" s="23" t="n"/>
      <c r="P280" s="21" t="n"/>
      <c r="Q280" s="21" t="n"/>
      <c r="R280" s="21" t="n"/>
      <c r="S280" s="21" t="n"/>
      <c r="T280" s="21" t="n"/>
      <c r="U280" s="21" t="n"/>
      <c r="V280" s="21" t="n"/>
      <c r="W280" s="21" t="n"/>
      <c r="X280" s="21" t="n"/>
      <c r="Y280" s="21" t="n"/>
      <c r="Z280" s="21" t="n"/>
      <c r="AA280" s="21" t="n"/>
      <c r="AB280" s="21" t="n"/>
      <c r="AC280" s="23" t="n"/>
      <c r="AD280" s="7" t="n"/>
    </row>
    <row r="281" outlineLevel="1" customFormat="1" s="294">
      <c r="A281" s="70" t="n"/>
      <c r="C281" s="58" t="n"/>
      <c r="D281" s="58" t="n"/>
      <c r="E281" s="58" t="n"/>
      <c r="F281" s="56" t="n"/>
      <c r="G281" s="21" t="n"/>
      <c r="H281" s="21" t="n"/>
      <c r="I281" s="21" t="n"/>
      <c r="J281" s="21" t="n"/>
      <c r="K281" s="21" t="n"/>
      <c r="L281" s="21" t="n"/>
      <c r="M281" s="188" t="n"/>
      <c r="N281" s="264" t="inlineStr">
        <is>
          <t>START_DATE</t>
        </is>
      </c>
      <c r="O281" s="23" t="n"/>
      <c r="P281" s="21" t="n"/>
      <c r="Q281" s="21" t="n"/>
      <c r="R281" s="21" t="n"/>
      <c r="S281" s="21" t="n"/>
      <c r="T281" s="21" t="n"/>
      <c r="U281" s="21" t="n"/>
      <c r="V281" s="21" t="n"/>
      <c r="W281" s="21" t="n"/>
      <c r="X281" s="21" t="n"/>
      <c r="Y281" s="21" t="n"/>
      <c r="Z281" s="21" t="n"/>
      <c r="AA281" s="21" t="n"/>
      <c r="AB281" s="21" t="n"/>
      <c r="AC281" s="23" t="n"/>
      <c r="AD281" s="7" t="n"/>
    </row>
    <row r="282" outlineLevel="1" customFormat="1" s="294">
      <c r="A282" s="70" t="n"/>
      <c r="C282" s="58" t="n"/>
      <c r="D282" s="58" t="n"/>
      <c r="E282" s="58" t="n"/>
      <c r="F282" s="56" t="n"/>
      <c r="G282" s="21" t="n"/>
      <c r="H282" s="21" t="n"/>
      <c r="I282" s="21" t="n"/>
      <c r="J282" s="21" t="n"/>
      <c r="K282" s="21" t="n"/>
      <c r="L282" s="21" t="n"/>
      <c r="M282" s="188" t="n"/>
      <c r="N282" s="264" t="inlineStr">
        <is>
          <t>AUTOMATED_END_DATE</t>
        </is>
      </c>
      <c r="O282" s="23" t="n"/>
      <c r="P282" s="21" t="n"/>
      <c r="Q282" s="21" t="n"/>
      <c r="R282" s="21" t="n"/>
      <c r="S282" s="21" t="n"/>
      <c r="T282" s="21" t="n"/>
      <c r="U282" s="21" t="n"/>
      <c r="V282" s="21" t="n"/>
      <c r="W282" s="21" t="n"/>
      <c r="X282" s="21" t="n"/>
      <c r="Y282" s="21" t="n"/>
      <c r="Z282" s="21" t="n"/>
      <c r="AA282" s="21" t="n"/>
      <c r="AB282" s="21" t="n"/>
      <c r="AC282" s="23" t="n"/>
      <c r="AD282" s="7" t="n"/>
    </row>
    <row r="283" outlineLevel="1" customFormat="1" s="294">
      <c r="A283" s="70" t="n"/>
      <c r="C283" s="58" t="n"/>
      <c r="D283" s="58" t="n"/>
      <c r="E283" s="58" t="n"/>
      <c r="F283" s="56" t="n"/>
      <c r="G283" s="21" t="n"/>
      <c r="H283" s="21" t="n"/>
      <c r="I283" s="21" t="n"/>
      <c r="J283" s="21" t="n"/>
      <c r="K283" s="21" t="n"/>
      <c r="L283" s="21" t="n"/>
      <c r="M283" s="188" t="n"/>
      <c r="N283" s="264" t="inlineStr">
        <is>
          <t>MANUAL_END_DATE</t>
        </is>
      </c>
      <c r="O283" s="23" t="n"/>
      <c r="P283" s="21" t="n"/>
      <c r="Q283" s="21" t="n"/>
      <c r="R283" s="21" t="n"/>
      <c r="S283" s="21" t="n"/>
      <c r="T283" s="21" t="n"/>
      <c r="U283" s="21" t="n"/>
      <c r="V283" s="21" t="n"/>
      <c r="W283" s="21" t="n"/>
      <c r="X283" s="21" t="n"/>
      <c r="Y283" s="21" t="n"/>
      <c r="Z283" s="21" t="n"/>
      <c r="AA283" s="21" t="n"/>
      <c r="AB283" s="21" t="n"/>
      <c r="AC283" s="23" t="n"/>
      <c r="AD283" s="7" t="n"/>
    </row>
    <row r="284" outlineLevel="1" customFormat="1" s="294">
      <c r="A284" s="70" t="n"/>
      <c r="C284" s="58" t="n"/>
      <c r="D284" s="58" t="n"/>
      <c r="E284" s="58" t="n"/>
      <c r="F284" s="56" t="n"/>
      <c r="G284" s="21" t="n"/>
      <c r="H284" s="21" t="n"/>
      <c r="I284" s="21" t="n"/>
      <c r="J284" s="21" t="n"/>
      <c r="K284" s="21" t="n"/>
      <c r="L284" s="21" t="n"/>
      <c r="M284" s="188" t="n"/>
      <c r="N284" s="264" t="inlineStr">
        <is>
          <t>DURATION</t>
        </is>
      </c>
      <c r="O284" s="23" t="n"/>
      <c r="P284" s="21" t="n"/>
      <c r="Q284" s="21" t="n"/>
      <c r="R284" s="21" t="n"/>
      <c r="S284" s="21" t="n"/>
      <c r="T284" s="21" t="n"/>
      <c r="U284" s="21" t="n"/>
      <c r="V284" s="21" t="n"/>
      <c r="W284" s="21" t="n"/>
      <c r="X284" s="21" t="n"/>
      <c r="Y284" s="21" t="n"/>
      <c r="Z284" s="21" t="n"/>
      <c r="AA284" s="21" t="n"/>
      <c r="AB284" s="21" t="n"/>
      <c r="AC284" s="23" t="n"/>
      <c r="AD284" s="7" t="n"/>
    </row>
    <row r="285" outlineLevel="1" customFormat="1" s="294">
      <c r="A285" s="70" t="n"/>
      <c r="C285" s="58" t="n"/>
      <c r="D285" s="58" t="n"/>
      <c r="E285" s="58" t="n"/>
      <c r="F285" s="56" t="n"/>
      <c r="G285" s="21" t="n"/>
      <c r="H285" s="21" t="n"/>
      <c r="I285" s="21" t="n"/>
      <c r="J285" s="21" t="n"/>
      <c r="K285" s="21" t="n"/>
      <c r="L285" s="21" t="n"/>
      <c r="M285" s="188" t="n"/>
      <c r="N285" s="264" t="inlineStr">
        <is>
          <t>MANUAL_DURATION</t>
        </is>
      </c>
      <c r="O285" s="23" t="n"/>
      <c r="P285" s="21" t="n"/>
      <c r="Q285" s="21" t="n"/>
      <c r="R285" s="21" t="n"/>
      <c r="S285" s="21" t="n"/>
      <c r="T285" s="21" t="n"/>
      <c r="U285" s="21" t="n"/>
      <c r="V285" s="21" t="n"/>
      <c r="W285" s="21" t="n"/>
      <c r="X285" s="21" t="n"/>
      <c r="Y285" s="21" t="n"/>
      <c r="Z285" s="21" t="n"/>
      <c r="AA285" s="21" t="n"/>
      <c r="AB285" s="21" t="n"/>
      <c r="AC285" s="23" t="n"/>
      <c r="AD285" s="7" t="n"/>
    </row>
    <row r="286" outlineLevel="1" customFormat="1" s="294">
      <c r="A286" s="70" t="n"/>
      <c r="C286" s="58" t="n"/>
      <c r="D286" s="58" t="n"/>
      <c r="E286" s="58" t="n"/>
      <c r="F286" s="56" t="n"/>
      <c r="G286" s="21" t="n"/>
      <c r="H286" s="21" t="n"/>
      <c r="I286" s="21" t="n"/>
      <c r="J286" s="21" t="n"/>
      <c r="K286" s="21" t="n"/>
      <c r="L286" s="21" t="n"/>
      <c r="M286" s="188" t="n"/>
      <c r="N286" s="97" t="n"/>
      <c r="O286" s="23" t="n"/>
      <c r="P286" s="21" t="n"/>
      <c r="Q286" s="21" t="n"/>
      <c r="R286" s="21" t="n"/>
      <c r="S286" s="21" t="n"/>
      <c r="T286" s="21" t="n"/>
      <c r="U286" s="21" t="n"/>
      <c r="V286" s="21" t="n"/>
      <c r="W286" s="21" t="n"/>
      <c r="X286" s="21" t="n"/>
      <c r="Y286" s="21" t="n"/>
      <c r="Z286" s="21" t="n"/>
      <c r="AA286" s="21" t="n"/>
      <c r="AB286" s="21" t="n"/>
      <c r="AC286" s="23" t="n"/>
      <c r="AD286" s="7" t="n"/>
    </row>
    <row r="287" outlineLevel="1" ht="15" customFormat="1" customHeight="1" s="294">
      <c r="A287" s="70" t="n"/>
      <c r="C287" s="58" t="n"/>
      <c r="D287" s="58" t="n"/>
      <c r="E287" s="58" t="n"/>
      <c r="F287" s="56" t="n"/>
      <c r="G287" s="21" t="n"/>
      <c r="H287" s="21" t="n"/>
      <c r="I287" s="21" t="n"/>
      <c r="J287" s="21" t="n"/>
      <c r="K287" s="21" t="n"/>
      <c r="L287" s="21" t="n"/>
      <c r="M287" s="188" t="n"/>
      <c r="N287" s="267" t="inlineStr">
        <is>
          <t>Complexity impact</t>
        </is>
      </c>
      <c r="O287" s="267" t="inlineStr">
        <is>
          <t>% Values</t>
        </is>
      </c>
      <c r="P287" s="21" t="n"/>
      <c r="Q287" s="126" t="n"/>
      <c r="R287" s="126" t="n"/>
      <c r="S287" s="21" t="n"/>
      <c r="T287" s="21" t="n"/>
      <c r="U287" s="21" t="n"/>
      <c r="V287" s="21" t="n"/>
      <c r="W287" s="21" t="n"/>
      <c r="X287" s="21" t="n"/>
      <c r="Y287" s="21" t="n"/>
      <c r="Z287" s="21" t="n"/>
      <c r="AA287" s="21" t="n"/>
      <c r="AB287" s="23" t="n"/>
      <c r="AC287" s="23" t="n"/>
      <c r="AD287" s="7" t="n"/>
    </row>
    <row r="288" outlineLevel="1" ht="15" customFormat="1" customHeight="1" s="294">
      <c r="A288" s="70" t="n"/>
      <c r="C288" s="58" t="n"/>
      <c r="D288" s="58" t="n"/>
      <c r="E288" s="58" t="n"/>
      <c r="F288" s="56" t="n"/>
      <c r="G288" s="21" t="n"/>
      <c r="H288" s="21" t="n"/>
      <c r="I288" s="21" t="n"/>
      <c r="J288" s="21" t="n"/>
      <c r="K288" s="21" t="n"/>
      <c r="L288" s="21" t="n"/>
      <c r="M288" s="188" t="n"/>
      <c r="N288" s="268" t="inlineStr">
        <is>
          <t>High (+)</t>
        </is>
      </c>
      <c r="O288" s="112" t="n">
        <v>0.5</v>
      </c>
      <c r="P288" s="316" t="inlineStr">
        <is>
          <t>Used to get effort for High and Low complexity activities based on given medium complexity effort.</t>
        </is>
      </c>
      <c r="Q288" s="302" t="n"/>
      <c r="R288" s="302" t="n"/>
      <c r="S288" s="21" t="n"/>
      <c r="T288" s="21" t="n"/>
      <c r="U288" s="21" t="n"/>
      <c r="V288" s="21" t="n"/>
      <c r="W288" s="21" t="n"/>
      <c r="X288" s="21" t="n"/>
      <c r="Y288" s="21" t="n"/>
      <c r="Z288" s="21" t="n"/>
      <c r="AA288" s="21" t="n"/>
      <c r="AB288" s="23" t="n"/>
      <c r="AC288" s="23" t="n"/>
      <c r="AD288" s="7" t="n"/>
    </row>
    <row r="289" outlineLevel="1" customFormat="1" s="294">
      <c r="A289" s="70" t="n"/>
      <c r="C289" s="58" t="n"/>
      <c r="D289" s="58" t="n"/>
      <c r="E289" s="58" t="n"/>
      <c r="F289" s="56" t="n"/>
      <c r="G289" s="21" t="n"/>
      <c r="H289" s="21" t="n"/>
      <c r="I289" s="21" t="n"/>
      <c r="J289" s="21" t="n"/>
      <c r="K289" s="21" t="n"/>
      <c r="L289" s="21" t="n"/>
      <c r="M289" s="188" t="n"/>
      <c r="N289" s="268" t="inlineStr">
        <is>
          <t>Low (-)</t>
        </is>
      </c>
      <c r="O289" s="112" t="n">
        <v>0.25</v>
      </c>
      <c r="P289" s="302" t="n"/>
      <c r="Q289" s="302" t="n"/>
      <c r="R289" s="302" t="n"/>
      <c r="S289" s="21" t="n"/>
      <c r="T289" s="21" t="n"/>
      <c r="U289" s="21" t="n"/>
      <c r="V289" s="21" t="n"/>
      <c r="W289" s="21" t="n"/>
      <c r="X289" s="21" t="n"/>
      <c r="Y289" s="21" t="n"/>
      <c r="Z289" s="21" t="n"/>
      <c r="AA289" s="21" t="n"/>
      <c r="AB289" s="23" t="n"/>
      <c r="AC289" s="23" t="n"/>
      <c r="AD289" s="7" t="n"/>
    </row>
    <row r="290" outlineLevel="1" customFormat="1" s="294">
      <c r="A290" s="70" t="n"/>
      <c r="C290" s="58" t="n"/>
      <c r="D290" s="58" t="n"/>
      <c r="E290" s="58" t="n"/>
      <c r="F290" s="56" t="n"/>
      <c r="G290" s="21" t="n"/>
      <c r="H290" s="21" t="n"/>
      <c r="I290" s="21" t="n"/>
      <c r="J290" s="21" t="n"/>
      <c r="K290" s="21" t="n"/>
      <c r="L290" s="21" t="n"/>
      <c r="M290" s="188" t="n"/>
      <c r="N290" s="23" t="n"/>
      <c r="O290" s="23" t="n"/>
      <c r="P290" s="302" t="n"/>
      <c r="Q290" s="302" t="n"/>
      <c r="R290" s="302" t="n"/>
      <c r="S290" s="21" t="n"/>
      <c r="T290" s="21" t="n"/>
      <c r="U290" s="21" t="n"/>
      <c r="V290" s="21" t="n"/>
      <c r="W290" s="21" t="n"/>
      <c r="X290" s="21" t="n"/>
      <c r="Y290" s="21" t="n"/>
      <c r="Z290" s="21" t="n"/>
      <c r="AA290" s="21" t="n"/>
      <c r="AB290" s="23" t="n"/>
      <c r="AC290" s="23" t="n"/>
      <c r="AD290" s="7" t="n"/>
    </row>
    <row r="291" outlineLevel="1" customFormat="1" s="294">
      <c r="A291" s="70" t="n"/>
      <c r="C291" s="58" t="n"/>
      <c r="D291" s="58" t="n"/>
      <c r="E291" s="58" t="n"/>
      <c r="F291" s="56" t="n"/>
      <c r="G291" s="21" t="n"/>
      <c r="H291" s="21" t="n"/>
      <c r="I291" s="21" t="n"/>
      <c r="J291" s="21" t="n"/>
      <c r="K291" s="21" t="n"/>
      <c r="L291" s="21" t="n"/>
      <c r="M291" s="188" t="n"/>
      <c r="N291" s="23" t="n"/>
      <c r="O291" s="23" t="n"/>
      <c r="P291" s="302" t="n"/>
      <c r="Q291" s="302" t="n"/>
      <c r="R291" s="302" t="n"/>
      <c r="S291" s="21" t="n"/>
      <c r="T291" s="21" t="n"/>
      <c r="U291" s="21" t="n"/>
      <c r="V291" s="21" t="n"/>
      <c r="W291" s="21" t="n"/>
      <c r="X291" s="21" t="n"/>
      <c r="Y291" s="21" t="n"/>
      <c r="Z291" s="21" t="n"/>
      <c r="AA291" s="21" t="n"/>
      <c r="AB291" s="23" t="n"/>
      <c r="AC291" s="23" t="n"/>
      <c r="AD291" s="7" t="n"/>
    </row>
    <row r="292" outlineLevel="1" customFormat="1" s="294">
      <c r="A292" s="70" t="n"/>
      <c r="C292" s="58" t="n"/>
      <c r="D292" s="58" t="n"/>
      <c r="E292" s="58" t="n"/>
      <c r="F292" s="56" t="n"/>
      <c r="G292" s="21" t="n"/>
      <c r="H292" s="21" t="n"/>
      <c r="I292" s="21" t="n"/>
      <c r="J292" s="21" t="n"/>
      <c r="K292" s="21" t="n"/>
      <c r="L292" s="21" t="n"/>
      <c r="M292" s="188" t="n"/>
      <c r="N292" s="262" t="inlineStr">
        <is>
          <t>Extras</t>
        </is>
      </c>
      <c r="O292" s="267" t="inlineStr">
        <is>
          <t>% Values</t>
        </is>
      </c>
      <c r="P292" s="21" t="n"/>
      <c r="Q292" s="21" t="n"/>
      <c r="R292" s="21" t="n"/>
      <c r="S292" s="21" t="n"/>
      <c r="T292" s="21" t="n"/>
      <c r="U292" s="21" t="n"/>
      <c r="V292" s="21" t="n"/>
      <c r="W292" s="21" t="n"/>
      <c r="X292" s="21" t="n"/>
      <c r="Y292" s="21" t="n"/>
      <c r="Z292" s="21" t="n"/>
      <c r="AA292" s="21" t="n"/>
      <c r="AB292" s="23" t="n"/>
      <c r="AC292" s="23" t="n"/>
      <c r="AD292" s="7" t="n"/>
    </row>
    <row r="293" outlineLevel="1" customFormat="1" s="294">
      <c r="A293" s="70" t="n"/>
      <c r="C293" s="58" t="n"/>
      <c r="D293" s="58" t="n"/>
      <c r="E293" s="58" t="n"/>
      <c r="F293" s="56" t="n"/>
      <c r="G293" s="21" t="n"/>
      <c r="H293" s="21" t="n"/>
      <c r="I293" s="21" t="n"/>
      <c r="J293" s="21" t="n"/>
      <c r="K293" s="21" t="n"/>
      <c r="L293" s="21" t="n"/>
      <c r="M293" s="188" t="n"/>
      <c r="N293" s="176" t="inlineStr">
        <is>
          <t>-</t>
        </is>
      </c>
      <c r="O293" s="177" t="n">
        <v>0</v>
      </c>
      <c r="P293" s="316" t="inlineStr">
        <is>
          <t>Added to calculated effort, when chosen.</t>
        </is>
      </c>
      <c r="Q293" s="302" t="n"/>
      <c r="R293" s="21" t="n"/>
      <c r="S293" s="21" t="n"/>
      <c r="T293" s="21" t="n"/>
      <c r="U293" s="21" t="n"/>
      <c r="V293" s="21" t="n"/>
      <c r="W293" s="21" t="n"/>
      <c r="X293" s="21" t="n"/>
      <c r="Y293" s="21" t="n"/>
      <c r="Z293" s="21" t="n"/>
      <c r="AA293" s="21" t="n"/>
      <c r="AB293" s="23" t="n"/>
      <c r="AC293" s="23" t="n"/>
      <c r="AD293" s="7" t="n"/>
    </row>
    <row r="294" outlineLevel="1" ht="15" customFormat="1" customHeight="1" s="294">
      <c r="A294" s="70" t="n"/>
      <c r="C294" s="58" t="n"/>
      <c r="D294" s="58" t="n"/>
      <c r="E294" s="58" t="n"/>
      <c r="F294" s="56" t="n"/>
      <c r="G294" s="21" t="n"/>
      <c r="H294" s="21" t="n"/>
      <c r="I294" s="21" t="n"/>
      <c r="J294" s="21" t="n"/>
      <c r="K294" s="21" t="n"/>
      <c r="L294" s="21" t="n"/>
      <c r="M294" s="188" t="n"/>
      <c r="N294" s="176" t="inlineStr">
        <is>
          <t>Unit Testing</t>
        </is>
      </c>
      <c r="O294" s="177" t="n">
        <v>0.25</v>
      </c>
      <c r="P294" s="302" t="n"/>
      <c r="Q294" s="302" t="n"/>
      <c r="R294" s="21" t="n"/>
      <c r="S294" s="21" t="n"/>
      <c r="T294" s="21" t="n"/>
      <c r="U294" s="21" t="n"/>
      <c r="V294" s="21" t="n"/>
      <c r="W294" s="21" t="n"/>
      <c r="X294" s="21" t="n"/>
      <c r="Y294" s="21" t="n"/>
      <c r="Z294" s="21" t="n"/>
      <c r="AA294" s="21" t="n"/>
      <c r="AB294" s="23" t="n"/>
      <c r="AC294" s="23" t="n"/>
      <c r="AD294" s="7" t="n"/>
    </row>
    <row r="295" outlineLevel="1" customFormat="1" s="294">
      <c r="A295" s="70" t="n"/>
      <c r="C295" s="58" t="n"/>
      <c r="D295" s="58" t="n"/>
      <c r="E295" s="58" t="n"/>
      <c r="F295" s="56" t="n"/>
      <c r="G295" s="21" t="n"/>
      <c r="H295" s="21" t="n"/>
      <c r="I295" s="21" t="n"/>
      <c r="J295" s="21" t="n"/>
      <c r="K295" s="21" t="n"/>
      <c r="L295" s="21" t="n"/>
      <c r="M295" s="188" t="n"/>
      <c r="N295" s="176" t="inlineStr">
        <is>
          <t>Unknowns</t>
        </is>
      </c>
      <c r="O295" s="178" t="n">
        <v>0.1</v>
      </c>
      <c r="P295" s="21" t="n"/>
      <c r="Q295" s="21" t="n"/>
      <c r="R295" s="21" t="n"/>
      <c r="S295" s="21" t="n"/>
      <c r="T295" s="21" t="n"/>
      <c r="U295" s="21" t="n"/>
      <c r="V295" s="21" t="n"/>
      <c r="W295" s="21" t="n"/>
      <c r="X295" s="21" t="n"/>
      <c r="Y295" s="21" t="n"/>
      <c r="Z295" s="21" t="n"/>
      <c r="AA295" s="21" t="n"/>
      <c r="AB295" s="23" t="n"/>
      <c r="AC295" s="23" t="n"/>
      <c r="AD295" s="7" t="n"/>
    </row>
    <row r="296" outlineLevel="1" customFormat="1" s="294">
      <c r="A296" s="70" t="n"/>
      <c r="C296" s="58" t="n"/>
      <c r="D296" s="58" t="n"/>
      <c r="E296" s="58" t="n"/>
      <c r="F296" s="56" t="n"/>
      <c r="G296" s="21" t="n"/>
      <c r="H296" s="21" t="n"/>
      <c r="I296" s="21" t="n"/>
      <c r="J296" s="21" t="n"/>
      <c r="K296" s="21" t="n"/>
      <c r="L296" s="21" t="n"/>
      <c r="M296" s="188" t="n"/>
      <c r="N296" s="176" t="inlineStr">
        <is>
          <t>Extra 1</t>
        </is>
      </c>
      <c r="O296" s="178" t="n">
        <v>0</v>
      </c>
      <c r="P296" s="21" t="n"/>
      <c r="Q296" s="21" t="n"/>
      <c r="R296" s="21" t="n"/>
      <c r="S296" s="21" t="n"/>
      <c r="T296" s="21" t="n"/>
      <c r="U296" s="21" t="n"/>
      <c r="V296" s="21" t="n"/>
      <c r="W296" s="21" t="n"/>
      <c r="X296" s="21" t="n"/>
      <c r="Y296" s="21" t="n"/>
      <c r="Z296" s="21" t="n"/>
      <c r="AA296" s="21" t="n"/>
      <c r="AB296" s="23" t="n"/>
      <c r="AC296" s="23" t="n"/>
      <c r="AD296" s="7" t="n"/>
    </row>
    <row r="297" outlineLevel="1" customFormat="1" s="294">
      <c r="A297" s="70" t="n"/>
      <c r="C297" s="58" t="n"/>
      <c r="D297" s="58" t="n"/>
      <c r="E297" s="58" t="n"/>
      <c r="F297" s="56" t="n"/>
      <c r="G297" s="21" t="n"/>
      <c r="H297" s="21" t="n"/>
      <c r="I297" s="21" t="n"/>
      <c r="J297" s="21" t="n"/>
      <c r="K297" s="21" t="n"/>
      <c r="L297" s="21" t="n"/>
      <c r="M297" s="188" t="n"/>
      <c r="N297" s="176" t="inlineStr">
        <is>
          <t>Extra 2</t>
        </is>
      </c>
      <c r="O297" s="178" t="n">
        <v>0</v>
      </c>
      <c r="P297" s="21" t="n"/>
      <c r="Q297" s="21" t="n"/>
      <c r="R297" s="21" t="n"/>
      <c r="S297" s="21" t="n"/>
      <c r="T297" s="21" t="n"/>
      <c r="U297" s="21" t="n"/>
      <c r="V297" s="21" t="n"/>
      <c r="W297" s="21" t="n"/>
      <c r="X297" s="21" t="n"/>
      <c r="Y297" s="21" t="n"/>
      <c r="Z297" s="21" t="n"/>
      <c r="AA297" s="21" t="n"/>
      <c r="AB297" s="23" t="n"/>
      <c r="AC297" s="23" t="n"/>
      <c r="AD297" s="7" t="n"/>
    </row>
    <row r="298" outlineLevel="1" customFormat="1" s="294">
      <c r="A298" s="70" t="n"/>
      <c r="C298" s="58" t="n"/>
      <c r="D298" s="58" t="n"/>
      <c r="E298" s="58" t="n"/>
      <c r="F298" s="56" t="n"/>
      <c r="G298" s="21" t="n"/>
      <c r="H298" s="21" t="n"/>
      <c r="I298" s="21" t="n"/>
      <c r="J298" s="21" t="n"/>
      <c r="K298" s="21" t="n"/>
      <c r="L298" s="21" t="n"/>
      <c r="M298" s="188" t="n"/>
      <c r="N298" s="176" t="inlineStr">
        <is>
          <t>Extra 3</t>
        </is>
      </c>
      <c r="O298" s="178" t="n">
        <v>0</v>
      </c>
      <c r="P298" s="21" t="n"/>
      <c r="Q298" s="21" t="n"/>
      <c r="R298" s="21" t="n"/>
      <c r="S298" s="21" t="n"/>
      <c r="T298" s="21" t="n"/>
      <c r="U298" s="21" t="n"/>
      <c r="V298" s="21" t="n"/>
      <c r="W298" s="21" t="n"/>
      <c r="X298" s="21" t="n"/>
      <c r="Y298" s="21" t="n"/>
      <c r="Z298" s="21" t="n"/>
      <c r="AA298" s="21" t="n"/>
      <c r="AB298" s="23" t="n"/>
      <c r="AC298" s="23" t="n"/>
      <c r="AD298" s="7" t="n"/>
    </row>
    <row r="299" outlineLevel="1" customFormat="1" s="294">
      <c r="A299" s="70" t="n"/>
      <c r="C299" s="58" t="n"/>
      <c r="D299" s="58" t="n"/>
      <c r="E299" s="58" t="n"/>
      <c r="F299" s="56" t="n"/>
      <c r="G299" s="21" t="n"/>
      <c r="H299" s="21" t="n"/>
      <c r="I299" s="21" t="n"/>
      <c r="J299" s="21" t="n"/>
      <c r="K299" s="21" t="n"/>
      <c r="L299" s="21" t="n"/>
      <c r="M299" s="188" t="n"/>
      <c r="N299" s="23" t="n"/>
      <c r="O299" s="23" t="n"/>
      <c r="P299" s="21" t="n"/>
      <c r="Q299" s="21" t="n"/>
      <c r="R299" s="21" t="n"/>
      <c r="S299" s="21" t="n"/>
      <c r="T299" s="21" t="n"/>
      <c r="U299" s="21" t="n"/>
      <c r="V299" s="21" t="n"/>
      <c r="W299" s="21" t="n"/>
      <c r="X299" s="21" t="n"/>
      <c r="Y299" s="21" t="n"/>
      <c r="Z299" s="21" t="n"/>
      <c r="AA299" s="21" t="n"/>
      <c r="AB299" s="23" t="n"/>
      <c r="AC299" s="23" t="n"/>
      <c r="AD299" s="7" t="n"/>
    </row>
    <row r="300" outlineLevel="1" customFormat="1" s="294">
      <c r="A300" s="70" t="n"/>
      <c r="C300" s="58" t="n"/>
      <c r="D300" s="58" t="n"/>
      <c r="E300" s="58" t="n"/>
      <c r="F300" s="56" t="n"/>
      <c r="G300" s="21" t="n"/>
      <c r="H300" s="21" t="n"/>
      <c r="I300" s="21" t="n"/>
      <c r="J300" s="21" t="n"/>
      <c r="K300" s="21" t="n"/>
      <c r="L300" s="21" t="n"/>
      <c r="M300" s="188" t="n"/>
      <c r="N300" s="262" t="inlineStr">
        <is>
          <t>Buffer types</t>
        </is>
      </c>
      <c r="O300" s="267" t="inlineStr">
        <is>
          <t>% Values</t>
        </is>
      </c>
      <c r="P300" s="21" t="n"/>
      <c r="Q300" s="21" t="n"/>
      <c r="R300" s="21" t="n"/>
      <c r="S300" s="21" t="n"/>
      <c r="T300" s="21" t="n"/>
      <c r="U300" s="21" t="n"/>
      <c r="V300" s="21" t="n"/>
      <c r="W300" s="21" t="n"/>
      <c r="X300" s="21" t="n"/>
      <c r="Y300" s="21" t="n"/>
      <c r="Z300" s="21" t="n"/>
      <c r="AA300" s="21" t="n"/>
      <c r="AB300" s="23" t="n"/>
      <c r="AC300" s="23" t="n"/>
      <c r="AD300" s="7" t="n"/>
    </row>
    <row r="301" outlineLevel="1" ht="15" customFormat="1" customHeight="1" s="294">
      <c r="A301" s="70" t="n"/>
      <c r="C301" s="58" t="n"/>
      <c r="D301" s="58" t="n"/>
      <c r="E301" s="58" t="n"/>
      <c r="F301" s="56" t="n"/>
      <c r="G301" s="21" t="n"/>
      <c r="H301" s="21" t="n"/>
      <c r="I301" s="21" t="n"/>
      <c r="J301" s="21" t="n"/>
      <c r="K301" s="21" t="n"/>
      <c r="L301" s="21" t="n"/>
      <c r="M301" s="188" t="n"/>
      <c r="N301" s="268">
        <f>Lists!B46</f>
        <v/>
      </c>
      <c r="O301" s="112" t="n">
        <v>0.1</v>
      </c>
      <c r="P301" s="316" t="inlineStr">
        <is>
          <t>Added to final effort reached after +/- adjustments.</t>
        </is>
      </c>
      <c r="Q301" s="302" t="n"/>
      <c r="R301" s="21" t="n"/>
      <c r="S301" s="21" t="n"/>
      <c r="T301" s="21" t="n"/>
      <c r="U301" s="21" t="n"/>
      <c r="V301" s="21" t="n"/>
      <c r="W301" s="21" t="n"/>
      <c r="X301" s="21" t="n"/>
      <c r="Y301" s="21" t="n"/>
      <c r="Z301" s="21" t="n"/>
      <c r="AA301" s="21" t="n"/>
      <c r="AB301" s="23" t="n"/>
      <c r="AC301" s="23" t="n"/>
      <c r="AD301" s="7" t="n"/>
    </row>
    <row r="302" outlineLevel="1" customFormat="1" s="294">
      <c r="A302" s="70" t="n"/>
      <c r="C302" s="58" t="n"/>
      <c r="D302" s="58" t="n"/>
      <c r="E302" s="58" t="n"/>
      <c r="F302" s="56" t="n"/>
      <c r="G302" s="21" t="n"/>
      <c r="H302" s="21" t="n"/>
      <c r="I302" s="21" t="n"/>
      <c r="J302" s="21" t="n"/>
      <c r="K302" s="21" t="n"/>
      <c r="L302" s="21" t="n"/>
      <c r="M302" s="188" t="n"/>
      <c r="N302" s="268">
        <f>Lists!B47</f>
        <v/>
      </c>
      <c r="O302" s="112" t="n">
        <v>0.15</v>
      </c>
      <c r="P302" s="302" t="n"/>
      <c r="Q302" s="302" t="n"/>
      <c r="R302" s="21" t="n"/>
      <c r="S302" s="21" t="n"/>
      <c r="T302" s="21" t="n"/>
      <c r="U302" s="21" t="n"/>
      <c r="V302" s="21" t="n"/>
      <c r="W302" s="21" t="n"/>
      <c r="X302" s="21" t="n"/>
      <c r="Y302" s="21" t="n"/>
      <c r="Z302" s="21" t="n"/>
      <c r="AA302" s="21" t="n"/>
      <c r="AB302" s="23" t="n"/>
      <c r="AC302" s="23" t="n"/>
      <c r="AD302" s="7" t="n"/>
    </row>
    <row r="303" outlineLevel="1" customFormat="1" s="294">
      <c r="A303" s="70" t="n"/>
      <c r="C303" s="58" t="n"/>
      <c r="D303" s="58" t="n"/>
      <c r="E303" s="58" t="n"/>
      <c r="F303" s="56" t="n"/>
      <c r="G303" s="21" t="n"/>
      <c r="H303" s="21" t="n"/>
      <c r="I303" s="21" t="n"/>
      <c r="J303" s="21" t="n"/>
      <c r="K303" s="21" t="n"/>
      <c r="L303" s="21" t="n"/>
      <c r="M303" s="188" t="n"/>
      <c r="N303" s="268">
        <f>Lists!B48</f>
        <v/>
      </c>
      <c r="O303" s="112" t="n">
        <v>0.2</v>
      </c>
      <c r="P303" s="302" t="n"/>
      <c r="Q303" s="302" t="n"/>
      <c r="R303" s="21" t="n"/>
      <c r="S303" s="21" t="n"/>
      <c r="T303" s="21" t="n"/>
      <c r="U303" s="21" t="n"/>
      <c r="V303" s="21" t="n"/>
      <c r="W303" s="21" t="n"/>
      <c r="X303" s="21" t="n"/>
      <c r="Y303" s="21" t="n"/>
      <c r="Z303" s="21" t="n"/>
      <c r="AA303" s="21" t="n"/>
      <c r="AB303" s="23" t="n"/>
      <c r="AC303" s="23" t="n"/>
      <c r="AD303" s="7" t="n"/>
    </row>
    <row r="304" outlineLevel="1" customFormat="1" s="294">
      <c r="A304" s="70" t="n"/>
      <c r="C304" s="58" t="n"/>
      <c r="D304" s="58" t="n"/>
      <c r="E304" s="58" t="n"/>
      <c r="F304" s="56" t="n"/>
      <c r="G304" s="21" t="n"/>
      <c r="H304" s="21" t="n"/>
      <c r="I304" s="21" t="n"/>
      <c r="J304" s="21" t="n"/>
      <c r="K304" s="21" t="n"/>
      <c r="L304" s="21" t="n"/>
      <c r="M304" s="188" t="n"/>
      <c r="N304" s="23" t="n"/>
      <c r="O304" s="23" t="n"/>
      <c r="P304" s="21" t="n"/>
      <c r="Q304" s="21" t="n"/>
      <c r="R304" s="21" t="n"/>
      <c r="S304" s="21" t="n"/>
      <c r="T304" s="21" t="n"/>
      <c r="U304" s="21" t="n"/>
      <c r="V304" s="21" t="n"/>
      <c r="W304" s="21" t="n"/>
      <c r="X304" s="21" t="n"/>
      <c r="Y304" s="21" t="n"/>
      <c r="Z304" s="21" t="n"/>
      <c r="AA304" s="21" t="n"/>
      <c r="AB304" s="23" t="n"/>
      <c r="AC304" s="23" t="n"/>
      <c r="AD304" s="7" t="n"/>
    </row>
    <row r="305" outlineLevel="1" ht="20.25" customFormat="1" customHeight="1" s="294">
      <c r="A305" s="70" t="n"/>
      <c r="C305" s="56" t="n"/>
      <c r="D305" s="56" t="n"/>
      <c r="E305" s="56" t="n"/>
      <c r="F305" s="56" t="n"/>
      <c r="G305" s="35" t="n"/>
      <c r="H305" s="35" t="n"/>
      <c r="I305" s="35" t="n"/>
      <c r="J305" s="35" t="n"/>
      <c r="K305" s="35" t="n"/>
      <c r="L305" s="35" t="n"/>
      <c r="M305" s="185" t="n"/>
      <c r="N305" s="35" t="n"/>
      <c r="O305" s="35" t="n"/>
      <c r="P305" s="35" t="n"/>
      <c r="Q305" s="35" t="n"/>
      <c r="R305" s="35" t="n"/>
      <c r="S305" s="35" t="n"/>
      <c r="T305" s="35" t="n"/>
      <c r="U305" s="35" t="n"/>
      <c r="V305" s="35" t="n"/>
      <c r="W305" s="35" t="n"/>
      <c r="X305" s="35" t="n"/>
      <c r="Y305" s="35" t="n"/>
      <c r="Z305" s="35" t="n"/>
      <c r="AA305" s="35" t="n"/>
      <c r="AB305" s="35" t="n"/>
      <c r="AC305" s="35" t="n"/>
      <c r="AD305" s="7" t="n"/>
    </row>
    <row r="306">
      <c r="F306" s="56" t="n"/>
    </row>
    <row r="370" ht="20.25" customFormat="1" customHeight="1" s="294">
      <c r="A370" s="70" t="n"/>
      <c r="C370" s="56" t="n"/>
      <c r="D370" s="56" t="n"/>
      <c r="E370" s="56" t="n"/>
      <c r="F370" s="56" t="n"/>
      <c r="G370" s="293" t="inlineStr">
        <is>
          <t>Notes</t>
        </is>
      </c>
      <c r="H370" s="302" t="n"/>
      <c r="I370" s="120" t="n"/>
      <c r="J370" s="35" t="n"/>
      <c r="K370" s="35" t="n"/>
      <c r="L370" s="31" t="n"/>
      <c r="M370" s="231" t="inlineStr">
        <is>
          <t>Templates</t>
        </is>
      </c>
      <c r="N370" s="31" t="n"/>
      <c r="O370" s="31" t="n"/>
      <c r="P370" s="31" t="n"/>
      <c r="Q370" s="31" t="n"/>
      <c r="R370" s="31" t="n"/>
      <c r="S370" s="31" t="n"/>
      <c r="T370" s="31" t="n"/>
      <c r="U370" s="31" t="n"/>
      <c r="V370" s="31" t="n"/>
      <c r="W370" s="31" t="n"/>
      <c r="X370" s="31" t="n"/>
      <c r="Y370" s="31" t="n"/>
      <c r="Z370" s="31" t="n"/>
      <c r="AA370" s="31" t="n"/>
      <c r="AB370" s="31" t="n"/>
      <c r="AC370" s="31" t="n"/>
      <c r="AD370" s="7" t="n"/>
    </row>
    <row r="371" hidden="1" s="337"/>
    <row r="372" hidden="1" collapsed="1" ht="18.5" customFormat="1" customHeight="1" s="298">
      <c r="A372" s="212" t="inlineStr">
        <is>
          <t>S1</t>
        </is>
      </c>
      <c r="B372" s="14" t="n"/>
      <c r="C372" s="59" t="n"/>
      <c r="D372" s="59" t="n"/>
      <c r="E372" s="59" t="n"/>
      <c r="F372" s="59" t="n"/>
      <c r="G372" s="44" t="n"/>
      <c r="H372" s="44" t="n"/>
      <c r="I372" s="44" t="n"/>
      <c r="J372" s="44" t="n"/>
      <c r="K372" s="44" t="n"/>
      <c r="L372" s="44" t="inlineStr">
        <is>
          <t>X</t>
        </is>
      </c>
      <c r="M372" s="187" t="inlineStr">
        <is>
          <t>Section Name</t>
        </is>
      </c>
      <c r="N372" s="45" t="n"/>
      <c r="O372" s="46" t="n"/>
      <c r="P372" s="47" t="n"/>
      <c r="Q372" s="47" t="n"/>
      <c r="R372" s="47" t="n"/>
      <c r="S372" s="350">
        <f>CEILING(SUMIFS(T373:T378, J373:J378, "&lt;&gt;Yes", A373:A378,"T1"),1)</f>
        <v/>
      </c>
      <c r="T372" s="302" t="n"/>
      <c r="U372" s="47" t="n"/>
      <c r="V372" s="47" t="n"/>
      <c r="W372" s="47" t="n"/>
      <c r="X372" s="47" t="n"/>
      <c r="Y372" s="47" t="n"/>
      <c r="Z372" s="47" t="n"/>
      <c r="AA372" s="47" t="n"/>
      <c r="AB372" s="47" t="n"/>
      <c r="AC372" s="47" t="n"/>
      <c r="AD372" s="226">
        <f>IF(M372="", "Section name cannot be empty.", "")</f>
        <v/>
      </c>
    </row>
    <row r="373" hidden="1" outlineLevel="1" ht="1.5" customFormat="1" customHeight="1" s="294">
      <c r="A373" s="212" t="inlineStr">
        <is>
          <t>S2</t>
        </is>
      </c>
      <c r="B373" s="12" t="n"/>
      <c r="C373" s="56" t="n"/>
      <c r="D373" s="56" t="n"/>
      <c r="E373" s="56" t="n"/>
      <c r="F373" s="56" t="n"/>
      <c r="G373" s="21" t="n"/>
      <c r="H373" s="21" t="n"/>
      <c r="I373" s="21" t="n"/>
      <c r="J373" s="21" t="n"/>
      <c r="K373" s="21" t="n"/>
      <c r="L373" s="53" t="n">
        <v>0</v>
      </c>
      <c r="M373" s="188" t="n"/>
      <c r="N373" s="21" t="n"/>
      <c r="O373" s="21" t="n"/>
      <c r="P373" s="21" t="n"/>
      <c r="Q373" s="21" t="n"/>
      <c r="R373" s="21" t="n"/>
      <c r="S373" s="21" t="n"/>
      <c r="T373" s="22" t="n"/>
      <c r="U373" s="21" t="n"/>
      <c r="V373" s="21" t="n"/>
      <c r="W373" s="21" t="n"/>
      <c r="X373" s="22" t="n"/>
      <c r="Y373" s="21" t="n"/>
      <c r="Z373" s="21" t="n"/>
      <c r="AA373" s="21" t="n"/>
      <c r="AB373" s="23" t="n"/>
      <c r="AC373" s="23" t="n"/>
      <c r="AD373" s="7" t="n"/>
    </row>
    <row r="374" hidden="1" outlineLevel="1" ht="15.5" customFormat="1" customHeight="1" s="298">
      <c r="A374" s="212" t="inlineStr">
        <is>
          <t>T1</t>
        </is>
      </c>
      <c r="B374" s="14" t="n"/>
      <c r="C374" s="61" t="n"/>
      <c r="D374" s="61" t="n"/>
      <c r="E374" s="61" t="n"/>
      <c r="F374" s="60" t="n"/>
      <c r="G374" s="24" t="n"/>
      <c r="H374" s="24" t="n"/>
      <c r="I374" s="24" t="n"/>
      <c r="J374" s="24" t="n"/>
      <c r="K374" s="24" t="n"/>
      <c r="L374" s="223">
        <f>LOOKUP(1000,INDIRECT("L1:"&amp;CELL("address",INDIRECT("R[-1]C",FALSE))))+1</f>
        <v/>
      </c>
      <c r="M374" s="301" t="inlineStr">
        <is>
          <t>Task Name</t>
        </is>
      </c>
      <c r="N374" s="302" t="n"/>
      <c r="O374" s="4" t="n"/>
      <c r="P374" s="25" t="n"/>
      <c r="Q374" s="25" t="n"/>
      <c r="R374" s="25" t="n"/>
      <c r="S374" s="25" t="n"/>
      <c r="T374" s="225">
        <f>IF($S$6="Exclude", SUMIFS(S375:S377, J375:J377, "&lt;&gt;Yes", G375:G377, "&lt;&gt;Yes"), SUMIFS(S375:S377, J375:J377, "&lt;&gt;Yes"))</f>
        <v/>
      </c>
      <c r="U374" s="25" t="n"/>
      <c r="V374" s="25" t="n"/>
      <c r="W374" s="25" t="n"/>
      <c r="X374" s="26" t="n"/>
      <c r="Y374" s="27" t="n"/>
      <c r="Z374" s="27" t="n"/>
      <c r="AA374" s="27" t="n"/>
      <c r="AB374" s="155" t="inlineStr">
        <is>
          <t>&gt;&gt; Out of scope activity 1</t>
        </is>
      </c>
      <c r="AC374" s="28" t="n"/>
      <c r="AD374" s="226">
        <f>IF(M374="", "Error: Task name cannot be empty.", "")</f>
        <v/>
      </c>
    </row>
    <row r="375" hidden="1" outlineLevel="2" ht="1.5" customFormat="1" customHeight="1" s="9">
      <c r="A375" s="212" t="inlineStr">
        <is>
          <t>T2</t>
        </is>
      </c>
      <c r="B375" s="14" t="n"/>
      <c r="C375" s="61" t="n"/>
      <c r="D375" s="61" t="n"/>
      <c r="E375" s="61" t="n"/>
      <c r="F375" s="60" t="n"/>
      <c r="G375" s="24" t="n"/>
      <c r="H375" s="24" t="n"/>
      <c r="I375" s="24" t="n"/>
      <c r="J375" s="24" t="n"/>
      <c r="K375" s="24" t="n"/>
      <c r="L375" s="227">
        <f>L374</f>
        <v/>
      </c>
      <c r="M375" s="228" t="inlineStr">
        <is>
          <t>X</t>
        </is>
      </c>
      <c r="N375" s="118" t="n"/>
      <c r="O375" s="119" t="n"/>
      <c r="P375" s="25" t="n"/>
      <c r="Q375" s="25" t="n"/>
      <c r="R375" s="25" t="n"/>
      <c r="S375" s="25" t="n"/>
      <c r="T375" s="114" t="n"/>
      <c r="U375" s="25" t="n"/>
      <c r="V375" s="25" t="n"/>
      <c r="W375" s="25" t="n"/>
      <c r="X375" s="26" t="n"/>
      <c r="Y375" s="27" t="n"/>
      <c r="Z375" s="27" t="n"/>
      <c r="AA375" s="27" t="n"/>
      <c r="AB375" s="28" t="n"/>
      <c r="AC375" s="28" t="n"/>
      <c r="AD375" s="19" t="n"/>
    </row>
    <row r="376" hidden="1" outlineLevel="2" ht="58" customHeight="1" s="337">
      <c r="A376" s="212" t="inlineStr">
        <is>
          <t>A</t>
        </is>
      </c>
      <c r="B376" s="14" t="n"/>
      <c r="C376" s="62" t="n"/>
      <c r="D376" s="62" t="n"/>
      <c r="E376" s="62" t="n"/>
      <c r="F376" s="63" t="n"/>
      <c r="G376" s="15" t="inlineStr">
        <is>
          <t>-</t>
        </is>
      </c>
      <c r="H376" s="15" t="inlineStr">
        <is>
          <t>-</t>
        </is>
      </c>
      <c r="I376" s="16" t="inlineStr">
        <is>
          <t>-</t>
        </is>
      </c>
      <c r="J376" s="15" t="inlineStr">
        <is>
          <t>-</t>
        </is>
      </c>
      <c r="K376" s="30" t="n"/>
      <c r="L376" s="15" t="n"/>
      <c r="M376" s="229">
        <f>IFERROR(OFFSET(M376,-1,,1,1)+0.1,OFFSET(M376,-1,-1,1,1)&amp;".1")</f>
        <v/>
      </c>
      <c r="N376" s="16" t="inlineStr">
        <is>
          <t>Task activity
&gt;&gt; Scope Item 1 
&gt;&gt; Scope Item 2
&gt;&gt; Scope Item 3</t>
        </is>
      </c>
      <c r="O376" s="16" t="n"/>
      <c r="P376" s="16" t="n"/>
      <c r="Q376" s="100" t="n"/>
      <c r="R376" s="95" t="n"/>
      <c r="S376" s="230">
        <f>CEILING((IF(J376="Yes", 0, IF(H376="-",AA376,AA376+AA376*VLOOKUP(H376,BUFFERS_BY_TYPE,2,FALSE)))) +
   (IF(J376="Yes", 0, IF(H376="-",AA376,AA376+AA376*VLOOKUP(H376,BUFFERS_BY_TYPE,2,FALSE))))*VLOOKUP($S$5, SALES_CALL_SCALE_ARRAY, 2,FALSE),0.25)</f>
        <v/>
      </c>
      <c r="T376" s="116" t="n"/>
      <c r="U376" s="17" t="n">
        <v>0</v>
      </c>
      <c r="V376" s="17" t="n">
        <v>1</v>
      </c>
      <c r="W376" s="17" t="n">
        <v>0</v>
      </c>
      <c r="X376" s="115" t="n"/>
      <c r="Y376" s="230">
        <f>CEILING((IF(P376=AS_DEV_EFFORT, DEV_EFFORT*Q376%,
                           IF(P376=AS_DURATION_EFFORT, (MANUAL_DURATION*5)*Q376%,
                                    (IF(Q376&lt;=1,X376,
                                          IF(SUM(U376:W376)=0,(Q376*X376),
                                               (((Q376*U376)*(X376+(X376*EXTRA_FOR_H)))+
                                               ((Q376*V376)*X376)+
                                               ((Q376*W376)*(X376-(X376*LESS_FOR_L)))
                                    )*IF(R376=0,1,R376))))))+Z376), 0.25)</f>
        <v/>
      </c>
      <c r="Z376" s="18" t="n"/>
      <c r="AA376" s="230">
        <f>Y376+Y376*VLOOKUP(I376,EXTRAS_ARRAY,2,FALSE)</f>
        <v/>
      </c>
      <c r="AB376" s="16" t="inlineStr">
        <is>
          <t>&gt;&gt; Assumption 1
&gt;&gt; Assumption 2</t>
        </is>
      </c>
      <c r="AC376" s="29" t="n"/>
      <c r="AD376" s="226">
        <f>IF(J376&lt;&gt;"Yes",
IF(S376&lt;=0,"Error: Effort value is not defined or is invalid.",
IF(AND(SUM(U376:W376)&gt;0,SUM(U376:W376)&lt;&gt;1),"Error: Complexity % distribution should sum to 100%.",
IF(AND(P376=AS_DEV_EFFORT,X376&lt;&gt;0),"Error: PDs should not be defined when defining as dev effort %.",
IF(AND(P376=AS_DURATION_EFFORT,X376&lt;&gt;0),"Error: PDs should not be defined when defining as duration effort %.","")))))</f>
        <v/>
      </c>
    </row>
    <row r="377" hidden="1" outlineLevel="2" ht="7.5" customFormat="1" customHeight="1" s="294">
      <c r="A377" s="212" t="inlineStr">
        <is>
          <t>T3</t>
        </is>
      </c>
      <c r="B377" s="12" t="n"/>
      <c r="C377" s="56" t="n"/>
      <c r="D377" s="56" t="n"/>
      <c r="E377" s="56" t="n"/>
      <c r="F377" s="56" t="n"/>
      <c r="M377" s="180" t="n"/>
      <c r="T377" s="12" t="n"/>
      <c r="X377" s="12" t="n"/>
      <c r="AB377" s="7" t="n"/>
      <c r="AC377" s="7" t="n"/>
      <c r="AD377" s="7" t="n"/>
    </row>
    <row r="378" hidden="1" outlineLevel="1" ht="1.5" customFormat="1" customHeight="1" s="294">
      <c r="A378" s="212" t="inlineStr">
        <is>
          <t>S3</t>
        </is>
      </c>
      <c r="C378" s="56" t="n"/>
      <c r="D378" s="56" t="n"/>
      <c r="E378" s="56" t="n"/>
      <c r="F378" s="56" t="n"/>
      <c r="G378" s="21" t="n"/>
      <c r="H378" s="21" t="n"/>
      <c r="I378" s="21" t="n"/>
      <c r="J378" s="21" t="n"/>
      <c r="K378" s="21" t="n"/>
      <c r="L378" s="48" t="n"/>
      <c r="M378" s="189" t="n"/>
      <c r="N378" s="49" t="n"/>
      <c r="O378" s="49" t="n"/>
      <c r="P378" s="48" t="n"/>
      <c r="Q378" s="48" t="n"/>
      <c r="R378" s="48" t="n"/>
      <c r="S378" s="48" t="n"/>
      <c r="T378" s="48" t="n"/>
      <c r="U378" s="48" t="n"/>
      <c r="V378" s="48" t="n"/>
      <c r="W378" s="48" t="n"/>
      <c r="X378" s="48" t="n"/>
      <c r="Y378" s="48" t="n"/>
      <c r="Z378" s="48" t="n"/>
      <c r="AA378" s="48" t="n"/>
      <c r="AB378" s="49" t="n"/>
      <c r="AC378" s="49" t="n"/>
      <c r="AD378" s="7" t="n"/>
    </row>
    <row r="379" hidden="1" collapsed="1" s="337"/>
    <row r="380" hidden="1" outlineLevel="1" ht="15.5" customFormat="1" customHeight="1" s="298">
      <c r="A380" s="212" t="inlineStr">
        <is>
          <t>M</t>
        </is>
      </c>
      <c r="B380" s="14" t="n"/>
      <c r="C380" s="61" t="n"/>
      <c r="D380" s="61" t="n"/>
      <c r="E380" s="61" t="n"/>
      <c r="F380" s="60" t="n"/>
      <c r="G380" s="125" t="n"/>
      <c r="H380" s="125" t="n"/>
      <c r="I380" s="125" t="n"/>
      <c r="J380" s="125" t="n"/>
      <c r="K380" s="125" t="n"/>
      <c r="L380" s="69" t="inlineStr">
        <is>
          <t>→</t>
        </is>
      </c>
      <c r="M380" s="311" t="inlineStr">
        <is>
          <t>Task Group Name</t>
        </is>
      </c>
      <c r="N380" s="302" t="n"/>
      <c r="O380" s="64" t="n"/>
      <c r="P380" s="65" t="n"/>
      <c r="Q380" s="65" t="n"/>
      <c r="R380" s="65" t="n"/>
      <c r="S380" s="352">
        <f>SUMGROUP(ROW(), "T")</f>
        <v/>
      </c>
      <c r="T380" s="302" t="n"/>
      <c r="U380" s="309" t="n"/>
      <c r="V380" s="302" t="n"/>
      <c r="W380" s="302" t="n"/>
      <c r="X380" s="66" t="n"/>
      <c r="Y380" s="67" t="n"/>
      <c r="Z380" s="67" t="n"/>
      <c r="AA380" s="67" t="n"/>
      <c r="AB380" s="156" t="n"/>
      <c r="AC380" s="68" t="n"/>
      <c r="AD380" s="226">
        <f>IF(M380="", "Error: Module name cannot be empty.", "")</f>
        <v/>
      </c>
    </row>
    <row r="381" hidden="1" s="337"/>
    <row r="382" ht="20.25" customFormat="1" customHeight="1" s="294">
      <c r="A382" s="70" t="n"/>
      <c r="C382" s="56" t="n"/>
      <c r="D382" s="56" t="n"/>
      <c r="E382" s="56" t="n"/>
      <c r="F382" s="56" t="n"/>
      <c r="G382" s="35" t="n"/>
      <c r="H382" s="35" t="n"/>
      <c r="I382" s="35" t="n"/>
      <c r="J382" s="35" t="n"/>
      <c r="K382" s="35" t="n"/>
      <c r="L382" s="35" t="n"/>
      <c r="M382" s="185" t="n"/>
      <c r="N382" s="35" t="n"/>
      <c r="O382" s="35" t="n"/>
      <c r="P382" s="35" t="n"/>
      <c r="Q382" s="35" t="n"/>
      <c r="R382" s="35" t="n"/>
      <c r="S382" s="35" t="n"/>
      <c r="T382" s="35" t="n"/>
      <c r="U382" s="35" t="n"/>
      <c r="V382" s="35" t="n"/>
      <c r="W382" s="35" t="n"/>
      <c r="X382" s="35" t="n"/>
      <c r="Y382" s="35" t="n"/>
      <c r="Z382" s="35" t="n"/>
      <c r="AA382" s="35" t="n"/>
      <c r="AB382" s="35" t="n"/>
      <c r="AC382" s="35" t="n"/>
      <c r="AD382" s="7" t="n"/>
    </row>
  </sheetData>
  <sheetProtection selectLockedCells="0" selectUnlockedCells="0" algorithmName="SHA-512" sheet="1" objects="1" insertRows="1" insertHyperlinks="1" autoFilter="1" scenarios="1" formatColumns="1" deleteColumns="1" insertColumns="1" pivotTables="1" deleteRows="1" formatCells="1" saltValue="9lc0IGC+FCXXLVx9zuQ7+A==" formatRows="1" sort="1" spinCount="100000" hashValue="HLavjWmnxfQg9FB0+ZMzwhOeqtWS/U/GoIER9OZNXHyJBkiUOCfwCEOtqHb7roEWa14yRDwx2K9oT77YFm0m5w=="/>
  <mergeCells count="91">
    <mergeCell ref="G370:H370"/>
    <mergeCell ref="T244:U244"/>
    <mergeCell ref="S173:T173"/>
    <mergeCell ref="O225:O226"/>
    <mergeCell ref="M138:N138"/>
    <mergeCell ref="M374:N374"/>
    <mergeCell ref="S112:T112"/>
    <mergeCell ref="G222:H222"/>
    <mergeCell ref="U10:W10"/>
    <mergeCell ref="M124:N124"/>
    <mergeCell ref="W228:X228"/>
    <mergeCell ref="U137:W137"/>
    <mergeCell ref="M33:N33"/>
    <mergeCell ref="M198:N198"/>
    <mergeCell ref="C10:F10"/>
    <mergeCell ref="S372:T372"/>
    <mergeCell ref="M47:N47"/>
    <mergeCell ref="T243:U243"/>
    <mergeCell ref="M143:N143"/>
    <mergeCell ref="M118:N118"/>
    <mergeCell ref="S12:T12"/>
    <mergeCell ref="M129:N129"/>
    <mergeCell ref="C12:E12"/>
    <mergeCell ref="W233:X233"/>
    <mergeCell ref="W230:X230"/>
    <mergeCell ref="U143:W143"/>
    <mergeCell ref="U112:W112"/>
    <mergeCell ref="M144:N144"/>
    <mergeCell ref="Y237:AA241"/>
    <mergeCell ref="U118:W118"/>
    <mergeCell ref="P301:Q303"/>
    <mergeCell ref="M128:N128"/>
    <mergeCell ref="S203:T203"/>
    <mergeCell ref="W232:X232"/>
    <mergeCell ref="M137:N137"/>
    <mergeCell ref="W225:X226"/>
    <mergeCell ref="S128:T128"/>
    <mergeCell ref="S137:T137"/>
    <mergeCell ref="Q233:V233"/>
    <mergeCell ref="M41:N41"/>
    <mergeCell ref="G250:H250"/>
    <mergeCell ref="M163:N163"/>
    <mergeCell ref="S65:T65"/>
    <mergeCell ref="M207:T208"/>
    <mergeCell ref="M380:N380"/>
    <mergeCell ref="M76:N76"/>
    <mergeCell ref="Q235:V235"/>
    <mergeCell ref="M156:N156"/>
    <mergeCell ref="W231:X231"/>
    <mergeCell ref="S143:T143"/>
    <mergeCell ref="M83:N83"/>
    <mergeCell ref="M188:N188"/>
    <mergeCell ref="M180:N180"/>
    <mergeCell ref="M67:N67"/>
    <mergeCell ref="M119:N119"/>
    <mergeCell ref="P293:Q294"/>
    <mergeCell ref="G9:J9"/>
    <mergeCell ref="P225:P226"/>
    <mergeCell ref="G205:H205"/>
    <mergeCell ref="S196:T196"/>
    <mergeCell ref="M104:N104"/>
    <mergeCell ref="M26:N26"/>
    <mergeCell ref="M97:N97"/>
    <mergeCell ref="W235:X236"/>
    <mergeCell ref="S95:T95"/>
    <mergeCell ref="U128:W128"/>
    <mergeCell ref="C2:F9"/>
    <mergeCell ref="N262:N264"/>
    <mergeCell ref="M184:N184"/>
    <mergeCell ref="Q224:V224"/>
    <mergeCell ref="S380:T380"/>
    <mergeCell ref="J5:K5"/>
    <mergeCell ref="M113:N113"/>
    <mergeCell ref="U380:W380"/>
    <mergeCell ref="W227:X227"/>
    <mergeCell ref="S11:T11"/>
    <mergeCell ref="M20:N20"/>
    <mergeCell ref="M151:N151"/>
    <mergeCell ref="S118:T118"/>
    <mergeCell ref="M175:N175"/>
    <mergeCell ref="G3:J3"/>
    <mergeCell ref="P10:R10"/>
    <mergeCell ref="M14:N14"/>
    <mergeCell ref="M72:N72"/>
    <mergeCell ref="W229:X229"/>
    <mergeCell ref="M112:N112"/>
    <mergeCell ref="C11:F11"/>
    <mergeCell ref="P288:R291"/>
    <mergeCell ref="S135:T135"/>
    <mergeCell ref="AB5:AB6"/>
    <mergeCell ref="M56:N56"/>
  </mergeCells>
  <conditionalFormatting sqref="B227">
    <cfRule type="cellIs" priority="9994" operator="equal" dxfId="11">
      <formula>"."</formula>
    </cfRule>
  </conditionalFormatting>
  <conditionalFormatting sqref="C224:E224 C243:E246">
    <cfRule type="expression" priority="9874" dxfId="3">
      <formula>$H224&lt;&gt;""</formula>
    </cfRule>
  </conditionalFormatting>
  <conditionalFormatting sqref="C225:E233">
    <cfRule type="expression" priority="9872" dxfId="3">
      <formula>$H225&lt;&gt;""</formula>
    </cfRule>
  </conditionalFormatting>
  <conditionalFormatting sqref="B225">
    <cfRule type="cellIs" priority="9868" operator="equal" dxfId="11">
      <formula>"."</formula>
    </cfRule>
  </conditionalFormatting>
  <conditionalFormatting sqref="B376">
    <cfRule type="expression" priority="9763" dxfId="11">
      <formula>AD376&lt;&gt;""</formula>
    </cfRule>
  </conditionalFormatting>
  <conditionalFormatting sqref="Z376">
    <cfRule type="cellIs" priority="9761" operator="greaterThan" dxfId="10">
      <formula>0</formula>
    </cfRule>
    <cfRule type="cellIs" priority="9762" operator="lessThan" dxfId="9">
      <formula>0</formula>
    </cfRule>
  </conditionalFormatting>
  <conditionalFormatting sqref="S376">
    <cfRule type="cellIs" priority="9760" operator="lessThan" dxfId="8">
      <formula>0</formula>
    </cfRule>
  </conditionalFormatting>
  <conditionalFormatting sqref="T374:T375">
    <cfRule type="expression" priority="9764" dxfId="4">
      <formula>#REF!="Yes"</formula>
    </cfRule>
  </conditionalFormatting>
  <conditionalFormatting sqref="P376">
    <cfRule type="cellIs" priority="9757" operator="equal" dxfId="7">
      <formula>AS_DURATION_EFFORT</formula>
    </cfRule>
    <cfRule type="cellIs" priority="9758" operator="equal" dxfId="6">
      <formula>AS_DEV_EFFORT</formula>
    </cfRule>
  </conditionalFormatting>
  <conditionalFormatting sqref="S380">
    <cfRule type="expression" priority="9573" dxfId="4">
      <formula>#REF!="Yes"</formula>
    </cfRule>
  </conditionalFormatting>
  <conditionalFormatting sqref="B372">
    <cfRule type="expression" priority="9565" dxfId="11">
      <formula>AD372&lt;&gt;""</formula>
    </cfRule>
  </conditionalFormatting>
  <conditionalFormatting sqref="B374:B375">
    <cfRule type="expression" priority="9564" dxfId="11">
      <formula>AD374&lt;&gt;""</formula>
    </cfRule>
  </conditionalFormatting>
  <conditionalFormatting sqref="B380">
    <cfRule type="expression" priority="9563" dxfId="11">
      <formula>AD380&lt;&gt;""</formula>
    </cfRule>
  </conditionalFormatting>
  <conditionalFormatting sqref="L16:AC17 L23:AC24 L28:M28 L35:M35 L43:M43 L49:M49 L58:M58 L69:AC70 L74:AC74 L78:AC81 L85:AC92 L99:AC102 L106:AC110 L115:AC116 L121:AC122 L126:AC126 L131:AC132 L153:AC153 L154:N154 L158:AC158 L159:AA159 L160:AC161 L165:AC168 L177:AC178 L182:AC182 L186:AC186 L190:AC193 L200:AC200 L376:AC376 O28:AC28 O35:AC35 O49:AC49 P43:AC43 P58:AC58 R154:AC154 AC159">
    <cfRule type="expression" priority="11852" dxfId="5">
      <formula>AND($G16="Yes", $S$6="Exclude")</formula>
    </cfRule>
    <cfRule type="expression" priority="11853" dxfId="4">
      <formula>$J16="Yes"</formula>
    </cfRule>
  </conditionalFormatting>
  <conditionalFormatting sqref="T5">
    <cfRule type="expression" priority="9146" dxfId="1043">
      <formula>OR($S$5="Reduce by:", $S$5="Increase by:")</formula>
    </cfRule>
  </conditionalFormatting>
  <conditionalFormatting sqref="F376">
    <cfRule type="expression" priority="6396" dxfId="3">
      <formula>$K376&lt;&gt;""</formula>
    </cfRule>
  </conditionalFormatting>
  <conditionalFormatting sqref="C376">
    <cfRule type="expression" priority="6352" dxfId="2">
      <formula>$G376&lt;&gt;"-"</formula>
    </cfRule>
  </conditionalFormatting>
  <conditionalFormatting sqref="D376">
    <cfRule type="expression" priority="6350" dxfId="1">
      <formula>$H376&lt;&gt;"-"</formula>
    </cfRule>
  </conditionalFormatting>
  <conditionalFormatting sqref="E376">
    <cfRule type="expression" priority="6349" dxfId="0">
      <formula>$I376&lt;&gt;"-"</formula>
    </cfRule>
  </conditionalFormatting>
  <conditionalFormatting sqref="B228">
    <cfRule type="cellIs" priority="2793" operator="equal" dxfId="11">
      <formula>"."</formula>
    </cfRule>
  </conditionalFormatting>
  <conditionalFormatting sqref="B229">
    <cfRule type="cellIs" priority="2792" operator="equal" dxfId="11">
      <formula>"."</formula>
    </cfRule>
  </conditionalFormatting>
  <conditionalFormatting sqref="B230">
    <cfRule type="cellIs" priority="2791" operator="equal" dxfId="11">
      <formula>"."</formula>
    </cfRule>
  </conditionalFormatting>
  <conditionalFormatting sqref="B231">
    <cfRule type="cellIs" priority="2790" operator="equal" dxfId="11">
      <formula>"."</formula>
    </cfRule>
  </conditionalFormatting>
  <conditionalFormatting sqref="B232">
    <cfRule type="cellIs" priority="2789" operator="equal" dxfId="11">
      <formula>"."</formula>
    </cfRule>
  </conditionalFormatting>
  <conditionalFormatting sqref="B16">
    <cfRule type="expression" priority="2785" dxfId="11">
      <formula>AD16&lt;&gt;""</formula>
    </cfRule>
  </conditionalFormatting>
  <conditionalFormatting sqref="Z16">
    <cfRule type="cellIs" priority="2783" operator="greaterThan" dxfId="10">
      <formula>0</formula>
    </cfRule>
    <cfRule type="cellIs" priority="2784" operator="lessThan" dxfId="9">
      <formula>0</formula>
    </cfRule>
  </conditionalFormatting>
  <conditionalFormatting sqref="S16">
    <cfRule type="cellIs" priority="2782" operator="lessThan" dxfId="8">
      <formula>0</formula>
    </cfRule>
  </conditionalFormatting>
  <conditionalFormatting sqref="T14:T15">
    <cfRule type="expression" priority="2786" dxfId="4">
      <formula>#REF!="Yes"</formula>
    </cfRule>
  </conditionalFormatting>
  <conditionalFormatting sqref="P16">
    <cfRule type="cellIs" priority="2780" operator="equal" dxfId="7">
      <formula>AS_DURATION_EFFORT</formula>
    </cfRule>
    <cfRule type="cellIs" priority="2781" operator="equal" dxfId="6">
      <formula>AS_DEV_EFFORT</formula>
    </cfRule>
  </conditionalFormatting>
  <conditionalFormatting sqref="B14:B15">
    <cfRule type="expression" priority="2779" dxfId="11">
      <formula>AD14&lt;&gt;""</formula>
    </cfRule>
  </conditionalFormatting>
  <conditionalFormatting sqref="F16">
    <cfRule type="expression" priority="2778" dxfId="3">
      <formula>$K16&lt;&gt;""</formula>
    </cfRule>
  </conditionalFormatting>
  <conditionalFormatting sqref="C16">
    <cfRule type="expression" priority="2777" dxfId="2">
      <formula>$G16&lt;&gt;"-"</formula>
    </cfRule>
  </conditionalFormatting>
  <conditionalFormatting sqref="D16">
    <cfRule type="expression" priority="2776" dxfId="1">
      <formula>$H16&lt;&gt;"-"</formula>
    </cfRule>
  </conditionalFormatting>
  <conditionalFormatting sqref="E16">
    <cfRule type="expression" priority="2775" dxfId="0">
      <formula>$I16&lt;&gt;"-"</formula>
    </cfRule>
  </conditionalFormatting>
  <conditionalFormatting sqref="B17">
    <cfRule type="expression" priority="2772" dxfId="11">
      <formula>AD17&lt;&gt;""</formula>
    </cfRule>
  </conditionalFormatting>
  <conditionalFormatting sqref="Z17">
    <cfRule type="cellIs" priority="2770" operator="greaterThan" dxfId="10">
      <formula>0</formula>
    </cfRule>
    <cfRule type="cellIs" priority="2771" operator="lessThan" dxfId="9">
      <formula>0</formula>
    </cfRule>
  </conditionalFormatting>
  <conditionalFormatting sqref="S17">
    <cfRule type="cellIs" priority="2769" operator="lessThan" dxfId="8">
      <formula>0</formula>
    </cfRule>
  </conditionalFormatting>
  <conditionalFormatting sqref="P17">
    <cfRule type="cellIs" priority="2767" operator="equal" dxfId="7">
      <formula>AS_DURATION_EFFORT</formula>
    </cfRule>
    <cfRule type="cellIs" priority="2768" operator="equal" dxfId="6">
      <formula>AS_DEV_EFFORT</formula>
    </cfRule>
  </conditionalFormatting>
  <conditionalFormatting sqref="F17">
    <cfRule type="expression" priority="2766" dxfId="3">
      <formula>$K17&lt;&gt;""</formula>
    </cfRule>
  </conditionalFormatting>
  <conditionalFormatting sqref="C17">
    <cfRule type="expression" priority="2765" dxfId="2">
      <formula>$G17&lt;&gt;"-"</formula>
    </cfRule>
  </conditionalFormatting>
  <conditionalFormatting sqref="D17">
    <cfRule type="expression" priority="2764" dxfId="1">
      <formula>$H17&lt;&gt;"-"</formula>
    </cfRule>
  </conditionalFormatting>
  <conditionalFormatting sqref="E17">
    <cfRule type="expression" priority="2763" dxfId="0">
      <formula>$I17&lt;&gt;"-"</formula>
    </cfRule>
  </conditionalFormatting>
  <conditionalFormatting sqref="B69">
    <cfRule type="expression" priority="2759" dxfId="11">
      <formula>AD69&lt;&gt;""</formula>
    </cfRule>
  </conditionalFormatting>
  <conditionalFormatting sqref="Z69">
    <cfRule type="cellIs" priority="2757" operator="greaterThan" dxfId="10">
      <formula>0</formula>
    </cfRule>
    <cfRule type="cellIs" priority="2758" operator="lessThan" dxfId="9">
      <formula>0</formula>
    </cfRule>
  </conditionalFormatting>
  <conditionalFormatting sqref="S69">
    <cfRule type="cellIs" priority="2756" operator="lessThan" dxfId="8">
      <formula>0</formula>
    </cfRule>
  </conditionalFormatting>
  <conditionalFormatting sqref="T67:T68">
    <cfRule type="expression" priority="2760" dxfId="4">
      <formula>#REF!="Yes"</formula>
    </cfRule>
  </conditionalFormatting>
  <conditionalFormatting sqref="P69">
    <cfRule type="cellIs" priority="2754" operator="equal" dxfId="7">
      <formula>AS_DURATION_EFFORT</formula>
    </cfRule>
    <cfRule type="cellIs" priority="2755" operator="equal" dxfId="6">
      <formula>AS_DEV_EFFORT</formula>
    </cfRule>
  </conditionalFormatting>
  <conditionalFormatting sqref="B67:B68">
    <cfRule type="expression" priority="2753" dxfId="11">
      <formula>AD67&lt;&gt;""</formula>
    </cfRule>
  </conditionalFormatting>
  <conditionalFormatting sqref="F69">
    <cfRule type="expression" priority="2752" dxfId="3">
      <formula>$K69&lt;&gt;""</formula>
    </cfRule>
  </conditionalFormatting>
  <conditionalFormatting sqref="C69">
    <cfRule type="expression" priority="2751" dxfId="2">
      <formula>$G69&lt;&gt;"-"</formula>
    </cfRule>
  </conditionalFormatting>
  <conditionalFormatting sqref="D69">
    <cfRule type="expression" priority="2750" dxfId="1">
      <formula>$H69&lt;&gt;"-"</formula>
    </cfRule>
  </conditionalFormatting>
  <conditionalFormatting sqref="E69">
    <cfRule type="expression" priority="2749" dxfId="0">
      <formula>$I69&lt;&gt;"-"</formula>
    </cfRule>
  </conditionalFormatting>
  <conditionalFormatting sqref="B99">
    <cfRule type="expression" priority="2689" dxfId="11">
      <formula>AD99&lt;&gt;""</formula>
    </cfRule>
  </conditionalFormatting>
  <conditionalFormatting sqref="Z99">
    <cfRule type="cellIs" priority="2687" operator="greaterThan" dxfId="10">
      <formula>0</formula>
    </cfRule>
    <cfRule type="cellIs" priority="2688" operator="lessThan" dxfId="9">
      <formula>0</formula>
    </cfRule>
  </conditionalFormatting>
  <conditionalFormatting sqref="S99">
    <cfRule type="cellIs" priority="2686" operator="lessThan" dxfId="8">
      <formula>0</formula>
    </cfRule>
  </conditionalFormatting>
  <conditionalFormatting sqref="T97:T98">
    <cfRule type="expression" priority="2690" dxfId="4">
      <formula>#REF!="Yes"</formula>
    </cfRule>
  </conditionalFormatting>
  <conditionalFormatting sqref="P99">
    <cfRule type="cellIs" priority="2684" operator="equal" dxfId="7">
      <formula>AS_DURATION_EFFORT</formula>
    </cfRule>
    <cfRule type="cellIs" priority="2685" operator="equal" dxfId="6">
      <formula>AS_DEV_EFFORT</formula>
    </cfRule>
  </conditionalFormatting>
  <conditionalFormatting sqref="B97:B98">
    <cfRule type="expression" priority="2683" dxfId="11">
      <formula>AD97&lt;&gt;""</formula>
    </cfRule>
  </conditionalFormatting>
  <conditionalFormatting sqref="F99">
    <cfRule type="expression" priority="2682" dxfId="3">
      <formula>$K99&lt;&gt;""</formula>
    </cfRule>
  </conditionalFormatting>
  <conditionalFormatting sqref="C99">
    <cfRule type="expression" priority="2681" dxfId="2">
      <formula>$G99&lt;&gt;"-"</formula>
    </cfRule>
  </conditionalFormatting>
  <conditionalFormatting sqref="D99">
    <cfRule type="expression" priority="2680" dxfId="1">
      <formula>$H99&lt;&gt;"-"</formula>
    </cfRule>
  </conditionalFormatting>
  <conditionalFormatting sqref="E99">
    <cfRule type="expression" priority="2679" dxfId="0">
      <formula>$I99&lt;&gt;"-"</formula>
    </cfRule>
  </conditionalFormatting>
  <conditionalFormatting sqref="B121">
    <cfRule type="expression" priority="2675" dxfId="11">
      <formula>AD121&lt;&gt;""</formula>
    </cfRule>
  </conditionalFormatting>
  <conditionalFormatting sqref="Z121">
    <cfRule type="cellIs" priority="2673" operator="greaterThan" dxfId="10">
      <formula>0</formula>
    </cfRule>
    <cfRule type="cellIs" priority="2674" operator="lessThan" dxfId="9">
      <formula>0</formula>
    </cfRule>
  </conditionalFormatting>
  <conditionalFormatting sqref="S121">
    <cfRule type="cellIs" priority="2672" operator="lessThan" dxfId="8">
      <formula>0</formula>
    </cfRule>
  </conditionalFormatting>
  <conditionalFormatting sqref="T119:T120">
    <cfRule type="expression" priority="2676" dxfId="4">
      <formula>#REF!="Yes"</formula>
    </cfRule>
  </conditionalFormatting>
  <conditionalFormatting sqref="P121">
    <cfRule type="cellIs" priority="2670" operator="equal" dxfId="7">
      <formula>AS_DURATION_EFFORT</formula>
    </cfRule>
    <cfRule type="cellIs" priority="2671" operator="equal" dxfId="6">
      <formula>AS_DEV_EFFORT</formula>
    </cfRule>
  </conditionalFormatting>
  <conditionalFormatting sqref="B119:B120">
    <cfRule type="expression" priority="2669" dxfId="11">
      <formula>AD119&lt;&gt;""</formula>
    </cfRule>
  </conditionalFormatting>
  <conditionalFormatting sqref="F121">
    <cfRule type="expression" priority="2668" dxfId="3">
      <formula>$K121&lt;&gt;""</formula>
    </cfRule>
  </conditionalFormatting>
  <conditionalFormatting sqref="C121">
    <cfRule type="expression" priority="2667" dxfId="2">
      <formula>$G121&lt;&gt;"-"</formula>
    </cfRule>
  </conditionalFormatting>
  <conditionalFormatting sqref="D121">
    <cfRule type="expression" priority="2666" dxfId="1">
      <formula>$H121&lt;&gt;"-"</formula>
    </cfRule>
  </conditionalFormatting>
  <conditionalFormatting sqref="E121">
    <cfRule type="expression" priority="2665" dxfId="0">
      <formula>$I121&lt;&gt;"-"</formula>
    </cfRule>
  </conditionalFormatting>
  <conditionalFormatting sqref="B115">
    <cfRule type="expression" priority="2661" dxfId="11">
      <formula>AD115&lt;&gt;""</formula>
    </cfRule>
  </conditionalFormatting>
  <conditionalFormatting sqref="Z115">
    <cfRule type="cellIs" priority="2659" operator="greaterThan" dxfId="10">
      <formula>0</formula>
    </cfRule>
    <cfRule type="cellIs" priority="2660" operator="lessThan" dxfId="9">
      <formula>0</formula>
    </cfRule>
  </conditionalFormatting>
  <conditionalFormatting sqref="S115">
    <cfRule type="cellIs" priority="2658" operator="lessThan" dxfId="8">
      <formula>0</formula>
    </cfRule>
  </conditionalFormatting>
  <conditionalFormatting sqref="T113:T114">
    <cfRule type="expression" priority="2662" dxfId="4">
      <formula>#REF!="Yes"</formula>
    </cfRule>
  </conditionalFormatting>
  <conditionalFormatting sqref="P115">
    <cfRule type="cellIs" priority="2656" operator="equal" dxfId="7">
      <formula>AS_DURATION_EFFORT</formula>
    </cfRule>
    <cfRule type="cellIs" priority="2657" operator="equal" dxfId="6">
      <formula>AS_DEV_EFFORT</formula>
    </cfRule>
  </conditionalFormatting>
  <conditionalFormatting sqref="B113:B114">
    <cfRule type="expression" priority="2655" dxfId="11">
      <formula>AD113&lt;&gt;""</formula>
    </cfRule>
  </conditionalFormatting>
  <conditionalFormatting sqref="F115">
    <cfRule type="expression" priority="2654" dxfId="3">
      <formula>$K115&lt;&gt;""</formula>
    </cfRule>
  </conditionalFormatting>
  <conditionalFormatting sqref="C115">
    <cfRule type="expression" priority="2653" dxfId="2">
      <formula>$G115&lt;&gt;"-"</formula>
    </cfRule>
  </conditionalFormatting>
  <conditionalFormatting sqref="D115">
    <cfRule type="expression" priority="2652" dxfId="1">
      <formula>$H115&lt;&gt;"-"</formula>
    </cfRule>
  </conditionalFormatting>
  <conditionalFormatting sqref="E115">
    <cfRule type="expression" priority="2651" dxfId="0">
      <formula>$I115&lt;&gt;"-"</formula>
    </cfRule>
  </conditionalFormatting>
  <conditionalFormatting sqref="B106">
    <cfRule type="expression" priority="2647" dxfId="11">
      <formula>AD106&lt;&gt;""</formula>
    </cfRule>
  </conditionalFormatting>
  <conditionalFormatting sqref="Z106">
    <cfRule type="cellIs" priority="2645" operator="greaterThan" dxfId="10">
      <formula>0</formula>
    </cfRule>
    <cfRule type="cellIs" priority="2646" operator="lessThan" dxfId="9">
      <formula>0</formula>
    </cfRule>
  </conditionalFormatting>
  <conditionalFormatting sqref="S106">
    <cfRule type="cellIs" priority="2644" operator="lessThan" dxfId="8">
      <formula>0</formula>
    </cfRule>
  </conditionalFormatting>
  <conditionalFormatting sqref="T104:T105">
    <cfRule type="expression" priority="2648" dxfId="4">
      <formula>#REF!="Yes"</formula>
    </cfRule>
  </conditionalFormatting>
  <conditionalFormatting sqref="P106">
    <cfRule type="cellIs" priority="2642" operator="equal" dxfId="7">
      <formula>AS_DURATION_EFFORT</formula>
    </cfRule>
    <cfRule type="cellIs" priority="2643" operator="equal" dxfId="6">
      <formula>AS_DEV_EFFORT</formula>
    </cfRule>
  </conditionalFormatting>
  <conditionalFormatting sqref="B104:B105">
    <cfRule type="expression" priority="2641" dxfId="11">
      <formula>AD104&lt;&gt;""</formula>
    </cfRule>
  </conditionalFormatting>
  <conditionalFormatting sqref="F106">
    <cfRule type="expression" priority="2640" dxfId="3">
      <formula>$K106&lt;&gt;""</formula>
    </cfRule>
  </conditionalFormatting>
  <conditionalFormatting sqref="C106">
    <cfRule type="expression" priority="2639" dxfId="2">
      <formula>$G106&lt;&gt;"-"</formula>
    </cfRule>
  </conditionalFormatting>
  <conditionalFormatting sqref="D106">
    <cfRule type="expression" priority="2638" dxfId="1">
      <formula>$H106&lt;&gt;"-"</formula>
    </cfRule>
  </conditionalFormatting>
  <conditionalFormatting sqref="E106">
    <cfRule type="expression" priority="2637" dxfId="0">
      <formula>$I106&lt;&gt;"-"</formula>
    </cfRule>
  </conditionalFormatting>
  <conditionalFormatting sqref="S112">
    <cfRule type="expression" priority="2632" dxfId="4">
      <formula>#REF!="Yes"</formula>
    </cfRule>
  </conditionalFormatting>
  <conditionalFormatting sqref="B112">
    <cfRule type="expression" priority="2631" dxfId="11">
      <formula>AD112&lt;&gt;""</formula>
    </cfRule>
  </conditionalFormatting>
  <conditionalFormatting sqref="B23">
    <cfRule type="expression" priority="2627" dxfId="11">
      <formula>AD23&lt;&gt;""</formula>
    </cfRule>
  </conditionalFormatting>
  <conditionalFormatting sqref="Z23">
    <cfRule type="cellIs" priority="2625" operator="greaterThan" dxfId="10">
      <formula>0</formula>
    </cfRule>
    <cfRule type="cellIs" priority="2626" operator="lessThan" dxfId="9">
      <formula>0</formula>
    </cfRule>
  </conditionalFormatting>
  <conditionalFormatting sqref="S23">
    <cfRule type="cellIs" priority="2624" operator="lessThan" dxfId="8">
      <formula>0</formula>
    </cfRule>
  </conditionalFormatting>
  <conditionalFormatting sqref="T20:T21">
    <cfRule type="expression" priority="2628" dxfId="4">
      <formula>#REF!="Yes"</formula>
    </cfRule>
  </conditionalFormatting>
  <conditionalFormatting sqref="P23">
    <cfRule type="cellIs" priority="2622" operator="equal" dxfId="7">
      <formula>AS_DURATION_EFFORT</formula>
    </cfRule>
    <cfRule type="cellIs" priority="2623" operator="equal" dxfId="6">
      <formula>AS_DEV_EFFORT</formula>
    </cfRule>
  </conditionalFormatting>
  <conditionalFormatting sqref="B20:B21">
    <cfRule type="expression" priority="2621" dxfId="11">
      <formula>AD20&lt;&gt;""</formula>
    </cfRule>
  </conditionalFormatting>
  <conditionalFormatting sqref="F23">
    <cfRule type="expression" priority="2620" dxfId="3">
      <formula>$K23&lt;&gt;""</formula>
    </cfRule>
  </conditionalFormatting>
  <conditionalFormatting sqref="C23">
    <cfRule type="expression" priority="2619" dxfId="2">
      <formula>$G23&lt;&gt;"-"</formula>
    </cfRule>
  </conditionalFormatting>
  <conditionalFormatting sqref="D23">
    <cfRule type="expression" priority="2618" dxfId="1">
      <formula>$H23&lt;&gt;"-"</formula>
    </cfRule>
  </conditionalFormatting>
  <conditionalFormatting sqref="E23">
    <cfRule type="expression" priority="2617" dxfId="0">
      <formula>$I23&lt;&gt;"-"</formula>
    </cfRule>
  </conditionalFormatting>
  <conditionalFormatting sqref="B24">
    <cfRule type="expression" priority="2614" dxfId="11">
      <formula>AD24&lt;&gt;""</formula>
    </cfRule>
  </conditionalFormatting>
  <conditionalFormatting sqref="Z24">
    <cfRule type="cellIs" priority="2612" operator="greaterThan" dxfId="10">
      <formula>0</formula>
    </cfRule>
    <cfRule type="cellIs" priority="2613" operator="lessThan" dxfId="9">
      <formula>0</formula>
    </cfRule>
  </conditionalFormatting>
  <conditionalFormatting sqref="S24">
    <cfRule type="cellIs" priority="2611" operator="lessThan" dxfId="8">
      <formula>0</formula>
    </cfRule>
  </conditionalFormatting>
  <conditionalFormatting sqref="P24">
    <cfRule type="cellIs" priority="2609" operator="equal" dxfId="7">
      <formula>AS_DURATION_EFFORT</formula>
    </cfRule>
    <cfRule type="cellIs" priority="2610" operator="equal" dxfId="6">
      <formula>AS_DEV_EFFORT</formula>
    </cfRule>
  </conditionalFormatting>
  <conditionalFormatting sqref="F24">
    <cfRule type="expression" priority="2608" dxfId="3">
      <formula>$K24&lt;&gt;""</formula>
    </cfRule>
  </conditionalFormatting>
  <conditionalFormatting sqref="C24">
    <cfRule type="expression" priority="2607" dxfId="2">
      <formula>$G24&lt;&gt;"-"</formula>
    </cfRule>
  </conditionalFormatting>
  <conditionalFormatting sqref="D24">
    <cfRule type="expression" priority="2606" dxfId="1">
      <formula>$H24&lt;&gt;"-"</formula>
    </cfRule>
  </conditionalFormatting>
  <conditionalFormatting sqref="E24">
    <cfRule type="expression" priority="2605" dxfId="0">
      <formula>$I24&lt;&gt;"-"</formula>
    </cfRule>
  </conditionalFormatting>
  <conditionalFormatting sqref="B74">
    <cfRule type="expression" priority="2551" dxfId="11">
      <formula>AD74&lt;&gt;""</formula>
    </cfRule>
  </conditionalFormatting>
  <conditionalFormatting sqref="Z74">
    <cfRule type="cellIs" priority="2549" operator="greaterThan" dxfId="10">
      <formula>0</formula>
    </cfRule>
    <cfRule type="cellIs" priority="2550" operator="lessThan" dxfId="9">
      <formula>0</formula>
    </cfRule>
  </conditionalFormatting>
  <conditionalFormatting sqref="S74">
    <cfRule type="cellIs" priority="2548" operator="lessThan" dxfId="8">
      <formula>0</formula>
    </cfRule>
  </conditionalFormatting>
  <conditionalFormatting sqref="T72:T73">
    <cfRule type="expression" priority="2552" dxfId="4">
      <formula>#REF!="Yes"</formula>
    </cfRule>
  </conditionalFormatting>
  <conditionalFormatting sqref="P74">
    <cfRule type="cellIs" priority="2546" operator="equal" dxfId="7">
      <formula>AS_DURATION_EFFORT</formula>
    </cfRule>
    <cfRule type="cellIs" priority="2547" operator="equal" dxfId="6">
      <formula>AS_DEV_EFFORT</formula>
    </cfRule>
  </conditionalFormatting>
  <conditionalFormatting sqref="B72:B73">
    <cfRule type="expression" priority="2545" dxfId="11">
      <formula>AD72&lt;&gt;""</formula>
    </cfRule>
  </conditionalFormatting>
  <conditionalFormatting sqref="F74">
    <cfRule type="expression" priority="2544" dxfId="3">
      <formula>$K74&lt;&gt;""</formula>
    </cfRule>
  </conditionalFormatting>
  <conditionalFormatting sqref="C74">
    <cfRule type="expression" priority="2543" dxfId="2">
      <formula>$G74&lt;&gt;"-"</formula>
    </cfRule>
  </conditionalFormatting>
  <conditionalFormatting sqref="D74">
    <cfRule type="expression" priority="2542" dxfId="1">
      <formula>$H74&lt;&gt;"-"</formula>
    </cfRule>
  </conditionalFormatting>
  <conditionalFormatting sqref="E74">
    <cfRule type="expression" priority="2541" dxfId="0">
      <formula>$I74&lt;&gt;"-"</formula>
    </cfRule>
  </conditionalFormatting>
  <conditionalFormatting sqref="B78">
    <cfRule type="expression" priority="2537" dxfId="11">
      <formula>AD78&lt;&gt;""</formula>
    </cfRule>
  </conditionalFormatting>
  <conditionalFormatting sqref="Z78">
    <cfRule type="cellIs" priority="2535" operator="greaterThan" dxfId="10">
      <formula>0</formula>
    </cfRule>
    <cfRule type="cellIs" priority="2536" operator="lessThan" dxfId="9">
      <formula>0</formula>
    </cfRule>
  </conditionalFormatting>
  <conditionalFormatting sqref="S78">
    <cfRule type="cellIs" priority="2534" operator="lessThan" dxfId="8">
      <formula>0</formula>
    </cfRule>
  </conditionalFormatting>
  <conditionalFormatting sqref="T76:T77">
    <cfRule type="expression" priority="2538" dxfId="4">
      <formula>#REF!="Yes"</formula>
    </cfRule>
  </conditionalFormatting>
  <conditionalFormatting sqref="P78">
    <cfRule type="cellIs" priority="2532" operator="equal" dxfId="7">
      <formula>AS_DURATION_EFFORT</formula>
    </cfRule>
    <cfRule type="cellIs" priority="2533" operator="equal" dxfId="6">
      <formula>AS_DEV_EFFORT</formula>
    </cfRule>
  </conditionalFormatting>
  <conditionalFormatting sqref="B76:B77">
    <cfRule type="expression" priority="2531" dxfId="11">
      <formula>AD76&lt;&gt;""</formula>
    </cfRule>
  </conditionalFormatting>
  <conditionalFormatting sqref="F78">
    <cfRule type="expression" priority="2530" dxfId="3">
      <formula>$K78&lt;&gt;""</formula>
    </cfRule>
  </conditionalFormatting>
  <conditionalFormatting sqref="C78">
    <cfRule type="expression" priority="2529" dxfId="2">
      <formula>$G78&lt;&gt;"-"</formula>
    </cfRule>
  </conditionalFormatting>
  <conditionalFormatting sqref="D78">
    <cfRule type="expression" priority="2528" dxfId="1">
      <formula>$H78&lt;&gt;"-"</formula>
    </cfRule>
  </conditionalFormatting>
  <conditionalFormatting sqref="E78">
    <cfRule type="expression" priority="2527" dxfId="0">
      <formula>$I78&lt;&gt;"-"</formula>
    </cfRule>
  </conditionalFormatting>
  <conditionalFormatting sqref="B85">
    <cfRule type="expression" priority="2523" dxfId="11">
      <formula>AD85&lt;&gt;""</formula>
    </cfRule>
  </conditionalFormatting>
  <conditionalFormatting sqref="Z85">
    <cfRule type="cellIs" priority="2521" operator="greaterThan" dxfId="10">
      <formula>0</formula>
    </cfRule>
    <cfRule type="cellIs" priority="2522" operator="lessThan" dxfId="9">
      <formula>0</formula>
    </cfRule>
  </conditionalFormatting>
  <conditionalFormatting sqref="S85">
    <cfRule type="cellIs" priority="2520" operator="lessThan" dxfId="8">
      <formula>0</formula>
    </cfRule>
  </conditionalFormatting>
  <conditionalFormatting sqref="T83:T84">
    <cfRule type="expression" priority="2524" dxfId="4">
      <formula>#REF!="Yes"</formula>
    </cfRule>
  </conditionalFormatting>
  <conditionalFormatting sqref="P85">
    <cfRule type="cellIs" priority="2518" operator="equal" dxfId="7">
      <formula>AS_DURATION_EFFORT</formula>
    </cfRule>
    <cfRule type="cellIs" priority="2519" operator="equal" dxfId="6">
      <formula>AS_DEV_EFFORT</formula>
    </cfRule>
  </conditionalFormatting>
  <conditionalFormatting sqref="B83:B84">
    <cfRule type="expression" priority="2517" dxfId="11">
      <formula>AD83&lt;&gt;""</formula>
    </cfRule>
  </conditionalFormatting>
  <conditionalFormatting sqref="F85">
    <cfRule type="expression" priority="2516" dxfId="3">
      <formula>$K85&lt;&gt;""</formula>
    </cfRule>
  </conditionalFormatting>
  <conditionalFormatting sqref="C85">
    <cfRule type="expression" priority="2515" dxfId="2">
      <formula>$G85&lt;&gt;"-"</formula>
    </cfRule>
  </conditionalFormatting>
  <conditionalFormatting sqref="D85">
    <cfRule type="expression" priority="2514" dxfId="1">
      <formula>$H85&lt;&gt;"-"</formula>
    </cfRule>
  </conditionalFormatting>
  <conditionalFormatting sqref="E85">
    <cfRule type="expression" priority="2513" dxfId="0">
      <formula>$I85&lt;&gt;"-"</formula>
    </cfRule>
  </conditionalFormatting>
  <conditionalFormatting sqref="B70">
    <cfRule type="expression" priority="2482" dxfId="11">
      <formula>AD70&lt;&gt;""</formula>
    </cfRule>
  </conditionalFormatting>
  <conditionalFormatting sqref="Z70">
    <cfRule type="cellIs" priority="2480" operator="greaterThan" dxfId="10">
      <formula>0</formula>
    </cfRule>
    <cfRule type="cellIs" priority="2481" operator="lessThan" dxfId="9">
      <formula>0</formula>
    </cfRule>
  </conditionalFormatting>
  <conditionalFormatting sqref="S70">
    <cfRule type="cellIs" priority="2479" operator="lessThan" dxfId="8">
      <formula>0</formula>
    </cfRule>
  </conditionalFormatting>
  <conditionalFormatting sqref="P70">
    <cfRule type="cellIs" priority="2477" operator="equal" dxfId="7">
      <formula>AS_DURATION_EFFORT</formula>
    </cfRule>
    <cfRule type="cellIs" priority="2478" operator="equal" dxfId="6">
      <formula>AS_DEV_EFFORT</formula>
    </cfRule>
  </conditionalFormatting>
  <conditionalFormatting sqref="F70">
    <cfRule type="expression" priority="2476" dxfId="3">
      <formula>$K70&lt;&gt;""</formula>
    </cfRule>
  </conditionalFormatting>
  <conditionalFormatting sqref="C70">
    <cfRule type="expression" priority="2475" dxfId="2">
      <formula>$G70&lt;&gt;"-"</formula>
    </cfRule>
  </conditionalFormatting>
  <conditionalFormatting sqref="D70">
    <cfRule type="expression" priority="2474" dxfId="1">
      <formula>$H70&lt;&gt;"-"</formula>
    </cfRule>
  </conditionalFormatting>
  <conditionalFormatting sqref="E70">
    <cfRule type="expression" priority="2473" dxfId="0">
      <formula>$I70&lt;&gt;"-"</formula>
    </cfRule>
  </conditionalFormatting>
  <conditionalFormatting sqref="B79">
    <cfRule type="expression" priority="2470" dxfId="11">
      <formula>AD79&lt;&gt;""</formula>
    </cfRule>
  </conditionalFormatting>
  <conditionalFormatting sqref="Z79">
    <cfRule type="cellIs" priority="2468" operator="greaterThan" dxfId="10">
      <formula>0</formula>
    </cfRule>
    <cfRule type="cellIs" priority="2469" operator="lessThan" dxfId="9">
      <formula>0</formula>
    </cfRule>
  </conditionalFormatting>
  <conditionalFormatting sqref="S79">
    <cfRule type="cellIs" priority="2467" operator="lessThan" dxfId="8">
      <formula>0</formula>
    </cfRule>
  </conditionalFormatting>
  <conditionalFormatting sqref="P79">
    <cfRule type="cellIs" priority="2465" operator="equal" dxfId="7">
      <formula>AS_DURATION_EFFORT</formula>
    </cfRule>
    <cfRule type="cellIs" priority="2466" operator="equal" dxfId="6">
      <formula>AS_DEV_EFFORT</formula>
    </cfRule>
  </conditionalFormatting>
  <conditionalFormatting sqref="F79">
    <cfRule type="expression" priority="2464" dxfId="3">
      <formula>$K79&lt;&gt;""</formula>
    </cfRule>
  </conditionalFormatting>
  <conditionalFormatting sqref="C79">
    <cfRule type="expression" priority="2463" dxfId="2">
      <formula>$G79&lt;&gt;"-"</formula>
    </cfRule>
  </conditionalFormatting>
  <conditionalFormatting sqref="D79">
    <cfRule type="expression" priority="2462" dxfId="1">
      <formula>$H79&lt;&gt;"-"</formula>
    </cfRule>
  </conditionalFormatting>
  <conditionalFormatting sqref="E79">
    <cfRule type="expression" priority="2461" dxfId="0">
      <formula>$I79&lt;&gt;"-"</formula>
    </cfRule>
  </conditionalFormatting>
  <conditionalFormatting sqref="B80">
    <cfRule type="expression" priority="2458" dxfId="11">
      <formula>AD80&lt;&gt;""</formula>
    </cfRule>
  </conditionalFormatting>
  <conditionalFormatting sqref="Z80">
    <cfRule type="cellIs" priority="2456" operator="greaterThan" dxfId="10">
      <formula>0</formula>
    </cfRule>
    <cfRule type="cellIs" priority="2457" operator="lessThan" dxfId="9">
      <formula>0</formula>
    </cfRule>
  </conditionalFormatting>
  <conditionalFormatting sqref="S80">
    <cfRule type="cellIs" priority="2455" operator="lessThan" dxfId="8">
      <formula>0</formula>
    </cfRule>
  </conditionalFormatting>
  <conditionalFormatting sqref="P80">
    <cfRule type="cellIs" priority="2453" operator="equal" dxfId="7">
      <formula>AS_DURATION_EFFORT</formula>
    </cfRule>
    <cfRule type="cellIs" priority="2454" operator="equal" dxfId="6">
      <formula>AS_DEV_EFFORT</formula>
    </cfRule>
  </conditionalFormatting>
  <conditionalFormatting sqref="F80">
    <cfRule type="expression" priority="2452" dxfId="3">
      <formula>$K80&lt;&gt;""</formula>
    </cfRule>
  </conditionalFormatting>
  <conditionalFormatting sqref="C80">
    <cfRule type="expression" priority="2451" dxfId="2">
      <formula>$G80&lt;&gt;"-"</formula>
    </cfRule>
  </conditionalFormatting>
  <conditionalFormatting sqref="D80">
    <cfRule type="expression" priority="2450" dxfId="1">
      <formula>$H80&lt;&gt;"-"</formula>
    </cfRule>
  </conditionalFormatting>
  <conditionalFormatting sqref="E80">
    <cfRule type="expression" priority="2449" dxfId="0">
      <formula>$I80&lt;&gt;"-"</formula>
    </cfRule>
  </conditionalFormatting>
  <conditionalFormatting sqref="B81">
    <cfRule type="expression" priority="2446" dxfId="11">
      <formula>AD81&lt;&gt;""</formula>
    </cfRule>
  </conditionalFormatting>
  <conditionalFormatting sqref="Z81">
    <cfRule type="cellIs" priority="2444" operator="greaterThan" dxfId="10">
      <formula>0</formula>
    </cfRule>
    <cfRule type="cellIs" priority="2445" operator="lessThan" dxfId="9">
      <formula>0</formula>
    </cfRule>
  </conditionalFormatting>
  <conditionalFormatting sqref="S81">
    <cfRule type="cellIs" priority="2443" operator="lessThan" dxfId="8">
      <formula>0</formula>
    </cfRule>
  </conditionalFormatting>
  <conditionalFormatting sqref="P81">
    <cfRule type="cellIs" priority="2441" operator="equal" dxfId="7">
      <formula>AS_DURATION_EFFORT</formula>
    </cfRule>
    <cfRule type="cellIs" priority="2442" operator="equal" dxfId="6">
      <formula>AS_DEV_EFFORT</formula>
    </cfRule>
  </conditionalFormatting>
  <conditionalFormatting sqref="F81">
    <cfRule type="expression" priority="2440" dxfId="3">
      <formula>$K81&lt;&gt;""</formula>
    </cfRule>
  </conditionalFormatting>
  <conditionalFormatting sqref="C81">
    <cfRule type="expression" priority="2439" dxfId="2">
      <formula>$G81&lt;&gt;"-"</formula>
    </cfRule>
  </conditionalFormatting>
  <conditionalFormatting sqref="D81">
    <cfRule type="expression" priority="2438" dxfId="1">
      <formula>$H81&lt;&gt;"-"</formula>
    </cfRule>
  </conditionalFormatting>
  <conditionalFormatting sqref="E81">
    <cfRule type="expression" priority="2437" dxfId="0">
      <formula>$I81&lt;&gt;"-"</formula>
    </cfRule>
  </conditionalFormatting>
  <conditionalFormatting sqref="B92">
    <cfRule type="expression" priority="2398" dxfId="11">
      <formula>AD92&lt;&gt;""</formula>
    </cfRule>
  </conditionalFormatting>
  <conditionalFormatting sqref="Z92">
    <cfRule type="cellIs" priority="2396" operator="greaterThan" dxfId="10">
      <formula>0</formula>
    </cfRule>
    <cfRule type="cellIs" priority="2397" operator="lessThan" dxfId="9">
      <formula>0</formula>
    </cfRule>
  </conditionalFormatting>
  <conditionalFormatting sqref="S92">
    <cfRule type="cellIs" priority="2395" operator="lessThan" dxfId="8">
      <formula>0</formula>
    </cfRule>
  </conditionalFormatting>
  <conditionalFormatting sqref="P92">
    <cfRule type="cellIs" priority="2393" operator="equal" dxfId="7">
      <formula>AS_DURATION_EFFORT</formula>
    </cfRule>
    <cfRule type="cellIs" priority="2394" operator="equal" dxfId="6">
      <formula>AS_DEV_EFFORT</formula>
    </cfRule>
  </conditionalFormatting>
  <conditionalFormatting sqref="F92">
    <cfRule type="expression" priority="2392" dxfId="3">
      <formula>$K92&lt;&gt;""</formula>
    </cfRule>
  </conditionalFormatting>
  <conditionalFormatting sqref="C92">
    <cfRule type="expression" priority="2391" dxfId="2">
      <formula>$G92&lt;&gt;"-"</formula>
    </cfRule>
  </conditionalFormatting>
  <conditionalFormatting sqref="D92">
    <cfRule type="expression" priority="2390" dxfId="1">
      <formula>$H92&lt;&gt;"-"</formula>
    </cfRule>
  </conditionalFormatting>
  <conditionalFormatting sqref="E92">
    <cfRule type="expression" priority="2389" dxfId="0">
      <formula>$I92&lt;&gt;"-"</formula>
    </cfRule>
  </conditionalFormatting>
  <conditionalFormatting sqref="B91">
    <cfRule type="expression" priority="2386" dxfId="11">
      <formula>AD91&lt;&gt;""</formula>
    </cfRule>
  </conditionalFormatting>
  <conditionalFormatting sqref="Z91">
    <cfRule type="cellIs" priority="2384" operator="greaterThan" dxfId="10">
      <formula>0</formula>
    </cfRule>
    <cfRule type="cellIs" priority="2385" operator="lessThan" dxfId="9">
      <formula>0</formula>
    </cfRule>
  </conditionalFormatting>
  <conditionalFormatting sqref="S91">
    <cfRule type="cellIs" priority="2383" operator="lessThan" dxfId="8">
      <formula>0</formula>
    </cfRule>
  </conditionalFormatting>
  <conditionalFormatting sqref="P91">
    <cfRule type="cellIs" priority="2381" operator="equal" dxfId="7">
      <formula>AS_DURATION_EFFORT</formula>
    </cfRule>
    <cfRule type="cellIs" priority="2382" operator="equal" dxfId="6">
      <formula>AS_DEV_EFFORT</formula>
    </cfRule>
  </conditionalFormatting>
  <conditionalFormatting sqref="F91">
    <cfRule type="expression" priority="2380" dxfId="3">
      <formula>$K91&lt;&gt;""</formula>
    </cfRule>
  </conditionalFormatting>
  <conditionalFormatting sqref="C91">
    <cfRule type="expression" priority="2379" dxfId="2">
      <formula>$G91&lt;&gt;"-"</formula>
    </cfRule>
  </conditionalFormatting>
  <conditionalFormatting sqref="D91">
    <cfRule type="expression" priority="2378" dxfId="1">
      <formula>$H91&lt;&gt;"-"</formula>
    </cfRule>
  </conditionalFormatting>
  <conditionalFormatting sqref="E91">
    <cfRule type="expression" priority="2377" dxfId="0">
      <formula>$I91&lt;&gt;"-"</formula>
    </cfRule>
  </conditionalFormatting>
  <conditionalFormatting sqref="B90">
    <cfRule type="expression" priority="2374" dxfId="11">
      <formula>AD90&lt;&gt;""</formula>
    </cfRule>
  </conditionalFormatting>
  <conditionalFormatting sqref="Z90">
    <cfRule type="cellIs" priority="2372" operator="greaterThan" dxfId="10">
      <formula>0</formula>
    </cfRule>
    <cfRule type="cellIs" priority="2373" operator="lessThan" dxfId="9">
      <formula>0</formula>
    </cfRule>
  </conditionalFormatting>
  <conditionalFormatting sqref="S90">
    <cfRule type="cellIs" priority="2371" operator="lessThan" dxfId="8">
      <formula>0</formula>
    </cfRule>
  </conditionalFormatting>
  <conditionalFormatting sqref="P90">
    <cfRule type="cellIs" priority="2369" operator="equal" dxfId="7">
      <formula>AS_DURATION_EFFORT</formula>
    </cfRule>
    <cfRule type="cellIs" priority="2370" operator="equal" dxfId="6">
      <formula>AS_DEV_EFFORT</formula>
    </cfRule>
  </conditionalFormatting>
  <conditionalFormatting sqref="F90">
    <cfRule type="expression" priority="2368" dxfId="3">
      <formula>$K90&lt;&gt;""</formula>
    </cfRule>
  </conditionalFormatting>
  <conditionalFormatting sqref="C90">
    <cfRule type="expression" priority="2367" dxfId="2">
      <formula>$G90&lt;&gt;"-"</formula>
    </cfRule>
  </conditionalFormatting>
  <conditionalFormatting sqref="D90">
    <cfRule type="expression" priority="2366" dxfId="1">
      <formula>$H90&lt;&gt;"-"</formula>
    </cfRule>
  </conditionalFormatting>
  <conditionalFormatting sqref="E90">
    <cfRule type="expression" priority="2365" dxfId="0">
      <formula>$I90&lt;&gt;"-"</formula>
    </cfRule>
  </conditionalFormatting>
  <conditionalFormatting sqref="B89">
    <cfRule type="expression" priority="2362" dxfId="11">
      <formula>AD89&lt;&gt;""</formula>
    </cfRule>
  </conditionalFormatting>
  <conditionalFormatting sqref="Z89">
    <cfRule type="cellIs" priority="2360" operator="greaterThan" dxfId="10">
      <formula>0</formula>
    </cfRule>
    <cfRule type="cellIs" priority="2361" operator="lessThan" dxfId="9">
      <formula>0</formula>
    </cfRule>
  </conditionalFormatting>
  <conditionalFormatting sqref="S89">
    <cfRule type="cellIs" priority="2359" operator="lessThan" dxfId="8">
      <formula>0</formula>
    </cfRule>
  </conditionalFormatting>
  <conditionalFormatting sqref="P89">
    <cfRule type="cellIs" priority="2357" operator="equal" dxfId="7">
      <formula>AS_DURATION_EFFORT</formula>
    </cfRule>
    <cfRule type="cellIs" priority="2358" operator="equal" dxfId="6">
      <formula>AS_DEV_EFFORT</formula>
    </cfRule>
  </conditionalFormatting>
  <conditionalFormatting sqref="F89">
    <cfRule type="expression" priority="2356" dxfId="3">
      <formula>$K89&lt;&gt;""</formula>
    </cfRule>
  </conditionalFormatting>
  <conditionalFormatting sqref="C89">
    <cfRule type="expression" priority="2355" dxfId="2">
      <formula>$G89&lt;&gt;"-"</formula>
    </cfRule>
  </conditionalFormatting>
  <conditionalFormatting sqref="D89">
    <cfRule type="expression" priority="2354" dxfId="1">
      <formula>$H89&lt;&gt;"-"</formula>
    </cfRule>
  </conditionalFormatting>
  <conditionalFormatting sqref="E89">
    <cfRule type="expression" priority="2353" dxfId="0">
      <formula>$I89&lt;&gt;"-"</formula>
    </cfRule>
  </conditionalFormatting>
  <conditionalFormatting sqref="B88">
    <cfRule type="expression" priority="2350" dxfId="11">
      <formula>AD88&lt;&gt;""</formula>
    </cfRule>
  </conditionalFormatting>
  <conditionalFormatting sqref="Z88">
    <cfRule type="cellIs" priority="2348" operator="greaterThan" dxfId="10">
      <formula>0</formula>
    </cfRule>
    <cfRule type="cellIs" priority="2349" operator="lessThan" dxfId="9">
      <formula>0</formula>
    </cfRule>
  </conditionalFormatting>
  <conditionalFormatting sqref="S88">
    <cfRule type="cellIs" priority="2347" operator="lessThan" dxfId="8">
      <formula>0</formula>
    </cfRule>
  </conditionalFormatting>
  <conditionalFormatting sqref="P88">
    <cfRule type="cellIs" priority="2345" operator="equal" dxfId="7">
      <formula>AS_DURATION_EFFORT</formula>
    </cfRule>
    <cfRule type="cellIs" priority="2346" operator="equal" dxfId="6">
      <formula>AS_DEV_EFFORT</formula>
    </cfRule>
  </conditionalFormatting>
  <conditionalFormatting sqref="F88">
    <cfRule type="expression" priority="2344" dxfId="3">
      <formula>$K88&lt;&gt;""</formula>
    </cfRule>
  </conditionalFormatting>
  <conditionalFormatting sqref="C88">
    <cfRule type="expression" priority="2343" dxfId="2">
      <formula>$G88&lt;&gt;"-"</formula>
    </cfRule>
  </conditionalFormatting>
  <conditionalFormatting sqref="D88">
    <cfRule type="expression" priority="2342" dxfId="1">
      <formula>$H88&lt;&gt;"-"</formula>
    </cfRule>
  </conditionalFormatting>
  <conditionalFormatting sqref="E88">
    <cfRule type="expression" priority="2341" dxfId="0">
      <formula>$I88&lt;&gt;"-"</formula>
    </cfRule>
  </conditionalFormatting>
  <conditionalFormatting sqref="B87">
    <cfRule type="expression" priority="2338" dxfId="11">
      <formula>AD87&lt;&gt;""</formula>
    </cfRule>
  </conditionalFormatting>
  <conditionalFormatting sqref="Z87">
    <cfRule type="cellIs" priority="2336" operator="greaterThan" dxfId="10">
      <formula>0</formula>
    </cfRule>
    <cfRule type="cellIs" priority="2337" operator="lessThan" dxfId="9">
      <formula>0</formula>
    </cfRule>
  </conditionalFormatting>
  <conditionalFormatting sqref="S87">
    <cfRule type="cellIs" priority="2335" operator="lessThan" dxfId="8">
      <formula>0</formula>
    </cfRule>
  </conditionalFormatting>
  <conditionalFormatting sqref="P87">
    <cfRule type="cellIs" priority="2333" operator="equal" dxfId="7">
      <formula>AS_DURATION_EFFORT</formula>
    </cfRule>
    <cfRule type="cellIs" priority="2334" operator="equal" dxfId="6">
      <formula>AS_DEV_EFFORT</formula>
    </cfRule>
  </conditionalFormatting>
  <conditionalFormatting sqref="F87">
    <cfRule type="expression" priority="2332" dxfId="3">
      <formula>$K87&lt;&gt;""</formula>
    </cfRule>
  </conditionalFormatting>
  <conditionalFormatting sqref="C87">
    <cfRule type="expression" priority="2331" dxfId="2">
      <formula>$G87&lt;&gt;"-"</formula>
    </cfRule>
  </conditionalFormatting>
  <conditionalFormatting sqref="D87">
    <cfRule type="expression" priority="2330" dxfId="1">
      <formula>$H87&lt;&gt;"-"</formula>
    </cfRule>
  </conditionalFormatting>
  <conditionalFormatting sqref="E87">
    <cfRule type="expression" priority="2329" dxfId="0">
      <formula>$I87&lt;&gt;"-"</formula>
    </cfRule>
  </conditionalFormatting>
  <conditionalFormatting sqref="B86">
    <cfRule type="expression" priority="2326" dxfId="11">
      <formula>AD86&lt;&gt;""</formula>
    </cfRule>
  </conditionalFormatting>
  <conditionalFormatting sqref="Z86">
    <cfRule type="cellIs" priority="2324" operator="greaterThan" dxfId="10">
      <formula>0</formula>
    </cfRule>
    <cfRule type="cellIs" priority="2325" operator="lessThan" dxfId="9">
      <formula>0</formula>
    </cfRule>
  </conditionalFormatting>
  <conditionalFormatting sqref="S86">
    <cfRule type="cellIs" priority="2323" operator="lessThan" dxfId="8">
      <formula>0</formula>
    </cfRule>
  </conditionalFormatting>
  <conditionalFormatting sqref="P86">
    <cfRule type="cellIs" priority="2321" operator="equal" dxfId="7">
      <formula>AS_DURATION_EFFORT</formula>
    </cfRule>
    <cfRule type="cellIs" priority="2322" operator="equal" dxfId="6">
      <formula>AS_DEV_EFFORT</formula>
    </cfRule>
  </conditionalFormatting>
  <conditionalFormatting sqref="F86">
    <cfRule type="expression" priority="2320" dxfId="3">
      <formula>$K86&lt;&gt;""</formula>
    </cfRule>
  </conditionalFormatting>
  <conditionalFormatting sqref="C86">
    <cfRule type="expression" priority="2319" dxfId="2">
      <formula>$G86&lt;&gt;"-"</formula>
    </cfRule>
  </conditionalFormatting>
  <conditionalFormatting sqref="D86">
    <cfRule type="expression" priority="2318" dxfId="1">
      <formula>$H86&lt;&gt;"-"</formula>
    </cfRule>
  </conditionalFormatting>
  <conditionalFormatting sqref="E86">
    <cfRule type="expression" priority="2317" dxfId="0">
      <formula>$I86&lt;&gt;"-"</formula>
    </cfRule>
  </conditionalFormatting>
  <conditionalFormatting sqref="B102">
    <cfRule type="expression" priority="2278" dxfId="11">
      <formula>AD102&lt;&gt;""</formula>
    </cfRule>
  </conditionalFormatting>
  <conditionalFormatting sqref="Z102">
    <cfRule type="cellIs" priority="2276" operator="greaterThan" dxfId="10">
      <formula>0</formula>
    </cfRule>
    <cfRule type="cellIs" priority="2277" operator="lessThan" dxfId="9">
      <formula>0</formula>
    </cfRule>
  </conditionalFormatting>
  <conditionalFormatting sqref="S102">
    <cfRule type="cellIs" priority="2275" operator="lessThan" dxfId="8">
      <formula>0</formula>
    </cfRule>
  </conditionalFormatting>
  <conditionalFormatting sqref="P102">
    <cfRule type="cellIs" priority="2273" operator="equal" dxfId="7">
      <formula>AS_DURATION_EFFORT</formula>
    </cfRule>
    <cfRule type="cellIs" priority="2274" operator="equal" dxfId="6">
      <formula>AS_DEV_EFFORT</formula>
    </cfRule>
  </conditionalFormatting>
  <conditionalFormatting sqref="F102">
    <cfRule type="expression" priority="2272" dxfId="3">
      <formula>$K102&lt;&gt;""</formula>
    </cfRule>
  </conditionalFormatting>
  <conditionalFormatting sqref="C102">
    <cfRule type="expression" priority="2271" dxfId="2">
      <formula>$G102&lt;&gt;"-"</formula>
    </cfRule>
  </conditionalFormatting>
  <conditionalFormatting sqref="D102">
    <cfRule type="expression" priority="2270" dxfId="1">
      <formula>$H102&lt;&gt;"-"</formula>
    </cfRule>
  </conditionalFormatting>
  <conditionalFormatting sqref="E102">
    <cfRule type="expression" priority="2269" dxfId="0">
      <formula>$I102&lt;&gt;"-"</formula>
    </cfRule>
  </conditionalFormatting>
  <conditionalFormatting sqref="B101">
    <cfRule type="expression" priority="2266" dxfId="11">
      <formula>AD101&lt;&gt;""</formula>
    </cfRule>
  </conditionalFormatting>
  <conditionalFormatting sqref="Z101">
    <cfRule type="cellIs" priority="2264" operator="greaterThan" dxfId="10">
      <formula>0</formula>
    </cfRule>
    <cfRule type="cellIs" priority="2265" operator="lessThan" dxfId="9">
      <formula>0</formula>
    </cfRule>
  </conditionalFormatting>
  <conditionalFormatting sqref="S101">
    <cfRule type="cellIs" priority="2263" operator="lessThan" dxfId="8">
      <formula>0</formula>
    </cfRule>
  </conditionalFormatting>
  <conditionalFormatting sqref="P101">
    <cfRule type="cellIs" priority="2261" operator="equal" dxfId="7">
      <formula>AS_DURATION_EFFORT</formula>
    </cfRule>
    <cfRule type="cellIs" priority="2262" operator="equal" dxfId="6">
      <formula>AS_DEV_EFFORT</formula>
    </cfRule>
  </conditionalFormatting>
  <conditionalFormatting sqref="F101">
    <cfRule type="expression" priority="2260" dxfId="3">
      <formula>$K101&lt;&gt;""</formula>
    </cfRule>
  </conditionalFormatting>
  <conditionalFormatting sqref="C101">
    <cfRule type="expression" priority="2259" dxfId="2">
      <formula>$G101&lt;&gt;"-"</formula>
    </cfRule>
  </conditionalFormatting>
  <conditionalFormatting sqref="D101">
    <cfRule type="expression" priority="2258" dxfId="1">
      <formula>$H101&lt;&gt;"-"</formula>
    </cfRule>
  </conditionalFormatting>
  <conditionalFormatting sqref="E101">
    <cfRule type="expression" priority="2257" dxfId="0">
      <formula>$I101&lt;&gt;"-"</formula>
    </cfRule>
  </conditionalFormatting>
  <conditionalFormatting sqref="B100">
    <cfRule type="expression" priority="2254" dxfId="11">
      <formula>AD100&lt;&gt;""</formula>
    </cfRule>
  </conditionalFormatting>
  <conditionalFormatting sqref="Z100">
    <cfRule type="cellIs" priority="2252" operator="greaterThan" dxfId="10">
      <formula>0</formula>
    </cfRule>
    <cfRule type="cellIs" priority="2253" operator="lessThan" dxfId="9">
      <formula>0</formula>
    </cfRule>
  </conditionalFormatting>
  <conditionalFormatting sqref="S100">
    <cfRule type="cellIs" priority="2251" operator="lessThan" dxfId="8">
      <formula>0</formula>
    </cfRule>
  </conditionalFormatting>
  <conditionalFormatting sqref="P100">
    <cfRule type="cellIs" priority="2249" operator="equal" dxfId="7">
      <formula>AS_DURATION_EFFORT</formula>
    </cfRule>
    <cfRule type="cellIs" priority="2250" operator="equal" dxfId="6">
      <formula>AS_DEV_EFFORT</formula>
    </cfRule>
  </conditionalFormatting>
  <conditionalFormatting sqref="F100">
    <cfRule type="expression" priority="2248" dxfId="3">
      <formula>$K100&lt;&gt;""</formula>
    </cfRule>
  </conditionalFormatting>
  <conditionalFormatting sqref="C100">
    <cfRule type="expression" priority="2247" dxfId="2">
      <formula>$G100&lt;&gt;"-"</formula>
    </cfRule>
  </conditionalFormatting>
  <conditionalFormatting sqref="D100">
    <cfRule type="expression" priority="2246" dxfId="1">
      <formula>$H100&lt;&gt;"-"</formula>
    </cfRule>
  </conditionalFormatting>
  <conditionalFormatting sqref="E100">
    <cfRule type="expression" priority="2245" dxfId="0">
      <formula>$I100&lt;&gt;"-"</formula>
    </cfRule>
  </conditionalFormatting>
  <conditionalFormatting sqref="B110">
    <cfRule type="expression" priority="2242" dxfId="11">
      <formula>AD110&lt;&gt;""</formula>
    </cfRule>
  </conditionalFormatting>
  <conditionalFormatting sqref="Z110">
    <cfRule type="cellIs" priority="2240" operator="greaterThan" dxfId="10">
      <formula>0</formula>
    </cfRule>
    <cfRule type="cellIs" priority="2241" operator="lessThan" dxfId="9">
      <formula>0</formula>
    </cfRule>
  </conditionalFormatting>
  <conditionalFormatting sqref="S110">
    <cfRule type="cellIs" priority="2239" operator="lessThan" dxfId="8">
      <formula>0</formula>
    </cfRule>
  </conditionalFormatting>
  <conditionalFormatting sqref="P110">
    <cfRule type="cellIs" priority="2237" operator="equal" dxfId="7">
      <formula>AS_DURATION_EFFORT</formula>
    </cfRule>
    <cfRule type="cellIs" priority="2238" operator="equal" dxfId="6">
      <formula>AS_DEV_EFFORT</formula>
    </cfRule>
  </conditionalFormatting>
  <conditionalFormatting sqref="F110">
    <cfRule type="expression" priority="2236" dxfId="3">
      <formula>$K110&lt;&gt;""</formula>
    </cfRule>
  </conditionalFormatting>
  <conditionalFormatting sqref="C110">
    <cfRule type="expression" priority="2235" dxfId="2">
      <formula>$G110&lt;&gt;"-"</formula>
    </cfRule>
  </conditionalFormatting>
  <conditionalFormatting sqref="D110">
    <cfRule type="expression" priority="2234" dxfId="1">
      <formula>$H110&lt;&gt;"-"</formula>
    </cfRule>
  </conditionalFormatting>
  <conditionalFormatting sqref="E110">
    <cfRule type="expression" priority="2233" dxfId="0">
      <formula>$I110&lt;&gt;"-"</formula>
    </cfRule>
  </conditionalFormatting>
  <conditionalFormatting sqref="B109">
    <cfRule type="expression" priority="2230" dxfId="11">
      <formula>AD109&lt;&gt;""</formula>
    </cfRule>
  </conditionalFormatting>
  <conditionalFormatting sqref="Z109">
    <cfRule type="cellIs" priority="2228" operator="greaterThan" dxfId="10">
      <formula>0</formula>
    </cfRule>
    <cfRule type="cellIs" priority="2229" operator="lessThan" dxfId="9">
      <formula>0</formula>
    </cfRule>
  </conditionalFormatting>
  <conditionalFormatting sqref="S109">
    <cfRule type="cellIs" priority="2227" operator="lessThan" dxfId="8">
      <formula>0</formula>
    </cfRule>
  </conditionalFormatting>
  <conditionalFormatting sqref="P109">
    <cfRule type="cellIs" priority="2225" operator="equal" dxfId="7">
      <formula>AS_DURATION_EFFORT</formula>
    </cfRule>
    <cfRule type="cellIs" priority="2226" operator="equal" dxfId="6">
      <formula>AS_DEV_EFFORT</formula>
    </cfRule>
  </conditionalFormatting>
  <conditionalFormatting sqref="F109">
    <cfRule type="expression" priority="2224" dxfId="3">
      <formula>$K109&lt;&gt;""</formula>
    </cfRule>
  </conditionalFormatting>
  <conditionalFormatting sqref="C109">
    <cfRule type="expression" priority="2223" dxfId="2">
      <formula>$G109&lt;&gt;"-"</formula>
    </cfRule>
  </conditionalFormatting>
  <conditionalFormatting sqref="D109">
    <cfRule type="expression" priority="2222" dxfId="1">
      <formula>$H109&lt;&gt;"-"</formula>
    </cfRule>
  </conditionalFormatting>
  <conditionalFormatting sqref="E109">
    <cfRule type="expression" priority="2221" dxfId="0">
      <formula>$I109&lt;&gt;"-"</formula>
    </cfRule>
  </conditionalFormatting>
  <conditionalFormatting sqref="B108">
    <cfRule type="expression" priority="2218" dxfId="11">
      <formula>AD108&lt;&gt;""</formula>
    </cfRule>
  </conditionalFormatting>
  <conditionalFormatting sqref="Z108">
    <cfRule type="cellIs" priority="2216" operator="greaterThan" dxfId="10">
      <formula>0</formula>
    </cfRule>
    <cfRule type="cellIs" priority="2217" operator="lessThan" dxfId="9">
      <formula>0</formula>
    </cfRule>
  </conditionalFormatting>
  <conditionalFormatting sqref="S108">
    <cfRule type="cellIs" priority="2215" operator="lessThan" dxfId="8">
      <formula>0</formula>
    </cfRule>
  </conditionalFormatting>
  <conditionalFormatting sqref="P108">
    <cfRule type="cellIs" priority="2213" operator="equal" dxfId="7">
      <formula>AS_DURATION_EFFORT</formula>
    </cfRule>
    <cfRule type="cellIs" priority="2214" operator="equal" dxfId="6">
      <formula>AS_DEV_EFFORT</formula>
    </cfRule>
  </conditionalFormatting>
  <conditionalFormatting sqref="F108">
    <cfRule type="expression" priority="2212" dxfId="3">
      <formula>$K108&lt;&gt;""</formula>
    </cfRule>
  </conditionalFormatting>
  <conditionalFormatting sqref="C108">
    <cfRule type="expression" priority="2211" dxfId="2">
      <formula>$G108&lt;&gt;"-"</formula>
    </cfRule>
  </conditionalFormatting>
  <conditionalFormatting sqref="D108">
    <cfRule type="expression" priority="2210" dxfId="1">
      <formula>$H108&lt;&gt;"-"</formula>
    </cfRule>
  </conditionalFormatting>
  <conditionalFormatting sqref="E108">
    <cfRule type="expression" priority="2209" dxfId="0">
      <formula>$I108&lt;&gt;"-"</formula>
    </cfRule>
  </conditionalFormatting>
  <conditionalFormatting sqref="B107">
    <cfRule type="expression" priority="2206" dxfId="11">
      <formula>AD107&lt;&gt;""</formula>
    </cfRule>
  </conditionalFormatting>
  <conditionalFormatting sqref="Z107">
    <cfRule type="cellIs" priority="2204" operator="greaterThan" dxfId="10">
      <formula>0</formula>
    </cfRule>
    <cfRule type="cellIs" priority="2205" operator="lessThan" dxfId="9">
      <formula>0</formula>
    </cfRule>
  </conditionalFormatting>
  <conditionalFormatting sqref="S107">
    <cfRule type="cellIs" priority="2203" operator="lessThan" dxfId="8">
      <formula>0</formula>
    </cfRule>
  </conditionalFormatting>
  <conditionalFormatting sqref="P107">
    <cfRule type="cellIs" priority="2201" operator="equal" dxfId="7">
      <formula>AS_DURATION_EFFORT</formula>
    </cfRule>
    <cfRule type="cellIs" priority="2202" operator="equal" dxfId="6">
      <formula>AS_DEV_EFFORT</formula>
    </cfRule>
  </conditionalFormatting>
  <conditionalFormatting sqref="F107">
    <cfRule type="expression" priority="2200" dxfId="3">
      <formula>$K107&lt;&gt;""</formula>
    </cfRule>
  </conditionalFormatting>
  <conditionalFormatting sqref="C107">
    <cfRule type="expression" priority="2199" dxfId="2">
      <formula>$G107&lt;&gt;"-"</formula>
    </cfRule>
  </conditionalFormatting>
  <conditionalFormatting sqref="D107">
    <cfRule type="expression" priority="2198" dxfId="1">
      <formula>$H107&lt;&gt;"-"</formula>
    </cfRule>
  </conditionalFormatting>
  <conditionalFormatting sqref="E107">
    <cfRule type="expression" priority="2197" dxfId="0">
      <formula>$I107&lt;&gt;"-"</formula>
    </cfRule>
  </conditionalFormatting>
  <conditionalFormatting sqref="B116">
    <cfRule type="expression" priority="2194" dxfId="11">
      <formula>AD116&lt;&gt;""</formula>
    </cfRule>
  </conditionalFormatting>
  <conditionalFormatting sqref="Z116">
    <cfRule type="cellIs" priority="2192" operator="greaterThan" dxfId="10">
      <formula>0</formula>
    </cfRule>
    <cfRule type="cellIs" priority="2193" operator="lessThan" dxfId="9">
      <formula>0</formula>
    </cfRule>
  </conditionalFormatting>
  <conditionalFormatting sqref="S116">
    <cfRule type="cellIs" priority="2191" operator="lessThan" dxfId="8">
      <formula>0</formula>
    </cfRule>
  </conditionalFormatting>
  <conditionalFormatting sqref="P116">
    <cfRule type="cellIs" priority="2189" operator="equal" dxfId="7">
      <formula>AS_DURATION_EFFORT</formula>
    </cfRule>
    <cfRule type="cellIs" priority="2190" operator="equal" dxfId="6">
      <formula>AS_DEV_EFFORT</formula>
    </cfRule>
  </conditionalFormatting>
  <conditionalFormatting sqref="F116">
    <cfRule type="expression" priority="2188" dxfId="3">
      <formula>$K116&lt;&gt;""</formula>
    </cfRule>
  </conditionalFormatting>
  <conditionalFormatting sqref="C116">
    <cfRule type="expression" priority="2187" dxfId="2">
      <formula>$G116&lt;&gt;"-"</formula>
    </cfRule>
  </conditionalFormatting>
  <conditionalFormatting sqref="D116">
    <cfRule type="expression" priority="2186" dxfId="1">
      <formula>$H116&lt;&gt;"-"</formula>
    </cfRule>
  </conditionalFormatting>
  <conditionalFormatting sqref="E116">
    <cfRule type="expression" priority="2185" dxfId="0">
      <formula>$I116&lt;&gt;"-"</formula>
    </cfRule>
  </conditionalFormatting>
  <conditionalFormatting sqref="S118">
    <cfRule type="expression" priority="2184" dxfId="4">
      <formula>#REF!="Yes"</formula>
    </cfRule>
  </conditionalFormatting>
  <conditionalFormatting sqref="B118">
    <cfRule type="expression" priority="2183" dxfId="11">
      <formula>AD118&lt;&gt;""</formula>
    </cfRule>
  </conditionalFormatting>
  <conditionalFormatting sqref="B126">
    <cfRule type="expression" priority="2179" dxfId="11">
      <formula>AD126&lt;&gt;""</formula>
    </cfRule>
  </conditionalFormatting>
  <conditionalFormatting sqref="Z126">
    <cfRule type="cellIs" priority="2177" operator="greaterThan" dxfId="10">
      <formula>0</formula>
    </cfRule>
    <cfRule type="cellIs" priority="2178" operator="lessThan" dxfId="9">
      <formula>0</formula>
    </cfRule>
  </conditionalFormatting>
  <conditionalFormatting sqref="S126">
    <cfRule type="cellIs" priority="2176" operator="lessThan" dxfId="8">
      <formula>0</formula>
    </cfRule>
  </conditionalFormatting>
  <conditionalFormatting sqref="T124:T125">
    <cfRule type="expression" priority="2180" dxfId="4">
      <formula>#REF!="Yes"</formula>
    </cfRule>
  </conditionalFormatting>
  <conditionalFormatting sqref="P126">
    <cfRule type="cellIs" priority="2174" operator="equal" dxfId="7">
      <formula>AS_DURATION_EFFORT</formula>
    </cfRule>
    <cfRule type="cellIs" priority="2175" operator="equal" dxfId="6">
      <formula>AS_DEV_EFFORT</formula>
    </cfRule>
  </conditionalFormatting>
  <conditionalFormatting sqref="B124:B125">
    <cfRule type="expression" priority="2173" dxfId="11">
      <formula>AD124&lt;&gt;""</formula>
    </cfRule>
  </conditionalFormatting>
  <conditionalFormatting sqref="F126">
    <cfRule type="expression" priority="2172" dxfId="3">
      <formula>$K126&lt;&gt;""</formula>
    </cfRule>
  </conditionalFormatting>
  <conditionalFormatting sqref="C126">
    <cfRule type="expression" priority="2171" dxfId="2">
      <formula>$G126&lt;&gt;"-"</formula>
    </cfRule>
  </conditionalFormatting>
  <conditionalFormatting sqref="D126">
    <cfRule type="expression" priority="2170" dxfId="1">
      <formula>$H126&lt;&gt;"-"</formula>
    </cfRule>
  </conditionalFormatting>
  <conditionalFormatting sqref="E126">
    <cfRule type="expression" priority="2169" dxfId="0">
      <formula>$I126&lt;&gt;"-"</formula>
    </cfRule>
  </conditionalFormatting>
  <conditionalFormatting sqref="B122">
    <cfRule type="expression" priority="2166" dxfId="11">
      <formula>AD122&lt;&gt;""</formula>
    </cfRule>
  </conditionalFormatting>
  <conditionalFormatting sqref="Z122">
    <cfRule type="cellIs" priority="2164" operator="greaterThan" dxfId="10">
      <formula>0</formula>
    </cfRule>
    <cfRule type="cellIs" priority="2165" operator="lessThan" dxfId="9">
      <formula>0</formula>
    </cfRule>
  </conditionalFormatting>
  <conditionalFormatting sqref="S122">
    <cfRule type="cellIs" priority="2163" operator="lessThan" dxfId="8">
      <formula>0</formula>
    </cfRule>
  </conditionalFormatting>
  <conditionalFormatting sqref="P122">
    <cfRule type="cellIs" priority="2161" operator="equal" dxfId="7">
      <formula>AS_DURATION_EFFORT</formula>
    </cfRule>
    <cfRule type="cellIs" priority="2162" operator="equal" dxfId="6">
      <formula>AS_DEV_EFFORT</formula>
    </cfRule>
  </conditionalFormatting>
  <conditionalFormatting sqref="F122">
    <cfRule type="expression" priority="2160" dxfId="3">
      <formula>$K122&lt;&gt;""</formula>
    </cfRule>
  </conditionalFormatting>
  <conditionalFormatting sqref="C122">
    <cfRule type="expression" priority="2159" dxfId="2">
      <formula>$G122&lt;&gt;"-"</formula>
    </cfRule>
  </conditionalFormatting>
  <conditionalFormatting sqref="D122">
    <cfRule type="expression" priority="2158" dxfId="1">
      <formula>$H122&lt;&gt;"-"</formula>
    </cfRule>
  </conditionalFormatting>
  <conditionalFormatting sqref="E122">
    <cfRule type="expression" priority="2157" dxfId="0">
      <formula>$I122&lt;&gt;"-"</formula>
    </cfRule>
  </conditionalFormatting>
  <conditionalFormatting sqref="B153">
    <cfRule type="expression" priority="2149" dxfId="11">
      <formula>AD153&lt;&gt;""</formula>
    </cfRule>
  </conditionalFormatting>
  <conditionalFormatting sqref="Z153">
    <cfRule type="cellIs" priority="2147" operator="greaterThan" dxfId="10">
      <formula>0</formula>
    </cfRule>
    <cfRule type="cellIs" priority="2148" operator="lessThan" dxfId="9">
      <formula>0</formula>
    </cfRule>
  </conditionalFormatting>
  <conditionalFormatting sqref="S153">
    <cfRule type="cellIs" priority="2146" operator="lessThan" dxfId="8">
      <formula>0</formula>
    </cfRule>
  </conditionalFormatting>
  <conditionalFormatting sqref="T151:T152">
    <cfRule type="expression" priority="2150" dxfId="4">
      <formula>#REF!="Yes"</formula>
    </cfRule>
  </conditionalFormatting>
  <conditionalFormatting sqref="P153">
    <cfRule type="cellIs" priority="2144" operator="equal" dxfId="7">
      <formula>AS_DURATION_EFFORT</formula>
    </cfRule>
    <cfRule type="cellIs" priority="2145" operator="equal" dxfId="6">
      <formula>AS_DEV_EFFORT</formula>
    </cfRule>
  </conditionalFormatting>
  <conditionalFormatting sqref="B151:B152">
    <cfRule type="expression" priority="2143" dxfId="11">
      <formula>AD151&lt;&gt;""</formula>
    </cfRule>
  </conditionalFormatting>
  <conditionalFormatting sqref="F153">
    <cfRule type="expression" priority="2142" dxfId="3">
      <formula>$K153&lt;&gt;""</formula>
    </cfRule>
  </conditionalFormatting>
  <conditionalFormatting sqref="C153">
    <cfRule type="expression" priority="2141" dxfId="2">
      <formula>$G153&lt;&gt;"-"</formula>
    </cfRule>
  </conditionalFormatting>
  <conditionalFormatting sqref="D153">
    <cfRule type="expression" priority="2140" dxfId="1">
      <formula>$H153&lt;&gt;"-"</formula>
    </cfRule>
  </conditionalFormatting>
  <conditionalFormatting sqref="E153">
    <cfRule type="expression" priority="2139" dxfId="0">
      <formula>$I153&lt;&gt;"-"</formula>
    </cfRule>
  </conditionalFormatting>
  <conditionalFormatting sqref="B154">
    <cfRule type="expression" priority="2136" dxfId="11">
      <formula>AD154&lt;&gt;""</formula>
    </cfRule>
  </conditionalFormatting>
  <conditionalFormatting sqref="Z154">
    <cfRule type="cellIs" priority="2134" operator="greaterThan" dxfId="10">
      <formula>0</formula>
    </cfRule>
    <cfRule type="cellIs" priority="2135" operator="lessThan" dxfId="9">
      <formula>0</formula>
    </cfRule>
  </conditionalFormatting>
  <conditionalFormatting sqref="S154">
    <cfRule type="cellIs" priority="2133" operator="lessThan" dxfId="8">
      <formula>0</formula>
    </cfRule>
  </conditionalFormatting>
  <conditionalFormatting sqref="F154">
    <cfRule type="expression" priority="2130" dxfId="3">
      <formula>$K154&lt;&gt;""</formula>
    </cfRule>
  </conditionalFormatting>
  <conditionalFormatting sqref="C154">
    <cfRule type="expression" priority="2129" dxfId="2">
      <formula>$G154&lt;&gt;"-"</formula>
    </cfRule>
  </conditionalFormatting>
  <conditionalFormatting sqref="D154">
    <cfRule type="expression" priority="2128" dxfId="1">
      <formula>$H154&lt;&gt;"-"</formula>
    </cfRule>
  </conditionalFormatting>
  <conditionalFormatting sqref="E154">
    <cfRule type="expression" priority="2127" dxfId="0">
      <formula>$I154&lt;&gt;"-"</formula>
    </cfRule>
  </conditionalFormatting>
  <conditionalFormatting sqref="B158">
    <cfRule type="expression" priority="2123" dxfId="11">
      <formula>AD158&lt;&gt;""</formula>
    </cfRule>
  </conditionalFormatting>
  <conditionalFormatting sqref="Z158">
    <cfRule type="cellIs" priority="2121" operator="greaterThan" dxfId="10">
      <formula>0</formula>
    </cfRule>
    <cfRule type="cellIs" priority="2122" operator="lessThan" dxfId="9">
      <formula>0</formula>
    </cfRule>
  </conditionalFormatting>
  <conditionalFormatting sqref="S158">
    <cfRule type="cellIs" priority="2120" operator="lessThan" dxfId="8">
      <formula>0</formula>
    </cfRule>
  </conditionalFormatting>
  <conditionalFormatting sqref="T156:T157">
    <cfRule type="expression" priority="2124" dxfId="4">
      <formula>#REF!="Yes"</formula>
    </cfRule>
  </conditionalFormatting>
  <conditionalFormatting sqref="P165">
    <cfRule type="cellIs" priority="2060" operator="equal" dxfId="7">
      <formula>AS_DURATION_EFFORT</formula>
    </cfRule>
    <cfRule type="cellIs" priority="2061" operator="equal" dxfId="6">
      <formula>AS_DEV_EFFORT</formula>
    </cfRule>
  </conditionalFormatting>
  <conditionalFormatting sqref="B156:B157">
    <cfRule type="expression" priority="2117" dxfId="11">
      <formula>AD156&lt;&gt;""</formula>
    </cfRule>
  </conditionalFormatting>
  <conditionalFormatting sqref="F158">
    <cfRule type="expression" priority="2116" dxfId="3">
      <formula>$K158&lt;&gt;""</formula>
    </cfRule>
  </conditionalFormatting>
  <conditionalFormatting sqref="C158">
    <cfRule type="expression" priority="2115" dxfId="2">
      <formula>$G158&lt;&gt;"-"</formula>
    </cfRule>
  </conditionalFormatting>
  <conditionalFormatting sqref="D158">
    <cfRule type="expression" priority="2114" dxfId="1">
      <formula>$H158&lt;&gt;"-"</formula>
    </cfRule>
  </conditionalFormatting>
  <conditionalFormatting sqref="E158">
    <cfRule type="expression" priority="2113" dxfId="0">
      <formula>$I158&lt;&gt;"-"</formula>
    </cfRule>
  </conditionalFormatting>
  <conditionalFormatting sqref="B159">
    <cfRule type="expression" priority="2110" dxfId="11">
      <formula>AD159&lt;&gt;""</formula>
    </cfRule>
  </conditionalFormatting>
  <conditionalFormatting sqref="Z159">
    <cfRule type="cellIs" priority="2108" operator="greaterThan" dxfId="10">
      <formula>0</formula>
    </cfRule>
    <cfRule type="cellIs" priority="2109" operator="lessThan" dxfId="9">
      <formula>0</formula>
    </cfRule>
  </conditionalFormatting>
  <conditionalFormatting sqref="S159">
    <cfRule type="cellIs" priority="2107" operator="lessThan" dxfId="8">
      <formula>0</formula>
    </cfRule>
  </conditionalFormatting>
  <conditionalFormatting sqref="P160">
    <cfRule type="cellIs" priority="2071" operator="equal" dxfId="7">
      <formula>AS_DURATION_EFFORT</formula>
    </cfRule>
    <cfRule type="cellIs" priority="2072" operator="equal" dxfId="6">
      <formula>AS_DEV_EFFORT</formula>
    </cfRule>
  </conditionalFormatting>
  <conditionalFormatting sqref="F159">
    <cfRule type="expression" priority="2104" dxfId="3">
      <formula>$K159&lt;&gt;""</formula>
    </cfRule>
  </conditionalFormatting>
  <conditionalFormatting sqref="C159">
    <cfRule type="expression" priority="2103" dxfId="2">
      <formula>$G159&lt;&gt;"-"</formula>
    </cfRule>
  </conditionalFormatting>
  <conditionalFormatting sqref="D159">
    <cfRule type="expression" priority="2102" dxfId="1">
      <formula>$H159&lt;&gt;"-"</formula>
    </cfRule>
  </conditionalFormatting>
  <conditionalFormatting sqref="E159">
    <cfRule type="expression" priority="2101" dxfId="0">
      <formula>$I159&lt;&gt;"-"</formula>
    </cfRule>
  </conditionalFormatting>
  <conditionalFormatting sqref="B161">
    <cfRule type="expression" priority="2098" dxfId="11">
      <formula>AD161&lt;&gt;""</formula>
    </cfRule>
  </conditionalFormatting>
  <conditionalFormatting sqref="Z161">
    <cfRule type="cellIs" priority="2096" operator="greaterThan" dxfId="10">
      <formula>0</formula>
    </cfRule>
    <cfRule type="cellIs" priority="2097" operator="lessThan" dxfId="9">
      <formula>0</formula>
    </cfRule>
  </conditionalFormatting>
  <conditionalFormatting sqref="S161">
    <cfRule type="cellIs" priority="2095" operator="lessThan" dxfId="8">
      <formula>0</formula>
    </cfRule>
  </conditionalFormatting>
  <conditionalFormatting sqref="P161">
    <cfRule type="cellIs" priority="2093" operator="equal" dxfId="7">
      <formula>AS_DURATION_EFFORT</formula>
    </cfRule>
    <cfRule type="cellIs" priority="2094" operator="equal" dxfId="6">
      <formula>AS_DEV_EFFORT</formula>
    </cfRule>
  </conditionalFormatting>
  <conditionalFormatting sqref="F161">
    <cfRule type="expression" priority="2092" dxfId="3">
      <formula>$K161&lt;&gt;""</formula>
    </cfRule>
  </conditionalFormatting>
  <conditionalFormatting sqref="C161">
    <cfRule type="expression" priority="2091" dxfId="2">
      <formula>$G161&lt;&gt;"-"</formula>
    </cfRule>
  </conditionalFormatting>
  <conditionalFormatting sqref="D161">
    <cfRule type="expression" priority="2090" dxfId="1">
      <formula>$H161&lt;&gt;"-"</formula>
    </cfRule>
  </conditionalFormatting>
  <conditionalFormatting sqref="E161">
    <cfRule type="expression" priority="2089" dxfId="0">
      <formula>$I161&lt;&gt;"-"</formula>
    </cfRule>
  </conditionalFormatting>
  <conditionalFormatting sqref="B160">
    <cfRule type="expression" priority="2086" dxfId="11">
      <formula>AD160&lt;&gt;""</formula>
    </cfRule>
  </conditionalFormatting>
  <conditionalFormatting sqref="Z160">
    <cfRule type="cellIs" priority="2084" operator="greaterThan" dxfId="10">
      <formula>0</formula>
    </cfRule>
    <cfRule type="cellIs" priority="2085" operator="lessThan" dxfId="9">
      <formula>0</formula>
    </cfRule>
  </conditionalFormatting>
  <conditionalFormatting sqref="S160">
    <cfRule type="cellIs" priority="2083" operator="lessThan" dxfId="8">
      <formula>0</formula>
    </cfRule>
  </conditionalFormatting>
  <conditionalFormatting sqref="P158">
    <cfRule type="cellIs" priority="2073" operator="equal" dxfId="7">
      <formula>AS_DURATION_EFFORT</formula>
    </cfRule>
    <cfRule type="cellIs" priority="2074" operator="equal" dxfId="6">
      <formula>AS_DEV_EFFORT</formula>
    </cfRule>
  </conditionalFormatting>
  <conditionalFormatting sqref="F160">
    <cfRule type="expression" priority="2080" dxfId="3">
      <formula>$K160&lt;&gt;""</formula>
    </cfRule>
  </conditionalFormatting>
  <conditionalFormatting sqref="C160">
    <cfRule type="expression" priority="2079" dxfId="2">
      <formula>$G160&lt;&gt;"-"</formula>
    </cfRule>
  </conditionalFormatting>
  <conditionalFormatting sqref="D160">
    <cfRule type="expression" priority="2078" dxfId="1">
      <formula>$H160&lt;&gt;"-"</formula>
    </cfRule>
  </conditionalFormatting>
  <conditionalFormatting sqref="E160">
    <cfRule type="expression" priority="2077" dxfId="0">
      <formula>$I160&lt;&gt;"-"</formula>
    </cfRule>
  </conditionalFormatting>
  <conditionalFormatting sqref="P168">
    <cfRule type="cellIs" priority="2047" operator="equal" dxfId="7">
      <formula>AS_DURATION_EFFORT</formula>
    </cfRule>
    <cfRule type="cellIs" priority="2048" operator="equal" dxfId="6">
      <formula>AS_DEV_EFFORT</formula>
    </cfRule>
  </conditionalFormatting>
  <conditionalFormatting sqref="P159:P160">
    <cfRule type="cellIs" priority="2069" operator="equal" dxfId="7">
      <formula>AS_DURATION_EFFORT</formula>
    </cfRule>
    <cfRule type="cellIs" priority="2070" operator="equal" dxfId="6">
      <formula>AS_DEV_EFFORT</formula>
    </cfRule>
  </conditionalFormatting>
  <conditionalFormatting sqref="B165">
    <cfRule type="expression" priority="2065" dxfId="11">
      <formula>AD165&lt;&gt;""</formula>
    </cfRule>
  </conditionalFormatting>
  <conditionalFormatting sqref="Z165">
    <cfRule type="cellIs" priority="2063" operator="greaterThan" dxfId="10">
      <formula>0</formula>
    </cfRule>
    <cfRule type="cellIs" priority="2064" operator="lessThan" dxfId="9">
      <formula>0</formula>
    </cfRule>
  </conditionalFormatting>
  <conditionalFormatting sqref="S165">
    <cfRule type="cellIs" priority="2062" operator="lessThan" dxfId="8">
      <formula>0</formula>
    </cfRule>
  </conditionalFormatting>
  <conditionalFormatting sqref="T163:T164">
    <cfRule type="expression" priority="2066" dxfId="4">
      <formula>#REF!="Yes"</formula>
    </cfRule>
  </conditionalFormatting>
  <conditionalFormatting sqref="B163:B164">
    <cfRule type="expression" priority="2059" dxfId="11">
      <formula>AD163&lt;&gt;""</formula>
    </cfRule>
  </conditionalFormatting>
  <conditionalFormatting sqref="F165">
    <cfRule type="expression" priority="2058" dxfId="3">
      <formula>$K165&lt;&gt;""</formula>
    </cfRule>
  </conditionalFormatting>
  <conditionalFormatting sqref="C165">
    <cfRule type="expression" priority="2057" dxfId="2">
      <formula>$G165&lt;&gt;"-"</formula>
    </cfRule>
  </conditionalFormatting>
  <conditionalFormatting sqref="D165">
    <cfRule type="expression" priority="2056" dxfId="1">
      <formula>$H165&lt;&gt;"-"</formula>
    </cfRule>
  </conditionalFormatting>
  <conditionalFormatting sqref="E165">
    <cfRule type="expression" priority="2055" dxfId="0">
      <formula>$I165&lt;&gt;"-"</formula>
    </cfRule>
  </conditionalFormatting>
  <conditionalFormatting sqref="B168">
    <cfRule type="expression" priority="2052" dxfId="11">
      <formula>AD168&lt;&gt;""</formula>
    </cfRule>
  </conditionalFormatting>
  <conditionalFormatting sqref="Z168">
    <cfRule type="cellIs" priority="2050" operator="greaterThan" dxfId="10">
      <formula>0</formula>
    </cfRule>
    <cfRule type="cellIs" priority="2051" operator="lessThan" dxfId="9">
      <formula>0</formula>
    </cfRule>
  </conditionalFormatting>
  <conditionalFormatting sqref="S168">
    <cfRule type="cellIs" priority="2049" operator="lessThan" dxfId="8">
      <formula>0</formula>
    </cfRule>
  </conditionalFormatting>
  <conditionalFormatting sqref="P167">
    <cfRule type="cellIs" priority="2035" operator="equal" dxfId="7">
      <formula>AS_DURATION_EFFORT</formula>
    </cfRule>
    <cfRule type="cellIs" priority="2036" operator="equal" dxfId="6">
      <formula>AS_DEV_EFFORT</formula>
    </cfRule>
  </conditionalFormatting>
  <conditionalFormatting sqref="F168">
    <cfRule type="expression" priority="2046" dxfId="3">
      <formula>$K168&lt;&gt;""</formula>
    </cfRule>
  </conditionalFormatting>
  <conditionalFormatting sqref="C168">
    <cfRule type="expression" priority="2045" dxfId="2">
      <formula>$G168&lt;&gt;"-"</formula>
    </cfRule>
  </conditionalFormatting>
  <conditionalFormatting sqref="D168">
    <cfRule type="expression" priority="2044" dxfId="1">
      <formula>$H168&lt;&gt;"-"</formula>
    </cfRule>
  </conditionalFormatting>
  <conditionalFormatting sqref="E168">
    <cfRule type="expression" priority="2043" dxfId="0">
      <formula>$I168&lt;&gt;"-"</formula>
    </cfRule>
  </conditionalFormatting>
  <conditionalFormatting sqref="B167">
    <cfRule type="expression" priority="2040" dxfId="11">
      <formula>AD167&lt;&gt;""</formula>
    </cfRule>
  </conditionalFormatting>
  <conditionalFormatting sqref="Z167">
    <cfRule type="cellIs" priority="2038" operator="greaterThan" dxfId="10">
      <formula>0</formula>
    </cfRule>
    <cfRule type="cellIs" priority="2039" operator="lessThan" dxfId="9">
      <formula>0</formula>
    </cfRule>
  </conditionalFormatting>
  <conditionalFormatting sqref="S167">
    <cfRule type="cellIs" priority="2037" operator="lessThan" dxfId="8">
      <formula>0</formula>
    </cfRule>
  </conditionalFormatting>
  <conditionalFormatting sqref="P166">
    <cfRule type="cellIs" priority="2023" operator="equal" dxfId="7">
      <formula>AS_DURATION_EFFORT</formula>
    </cfRule>
    <cfRule type="cellIs" priority="2024" operator="equal" dxfId="6">
      <formula>AS_DEV_EFFORT</formula>
    </cfRule>
  </conditionalFormatting>
  <conditionalFormatting sqref="F167">
    <cfRule type="expression" priority="2034" dxfId="3">
      <formula>$K167&lt;&gt;""</formula>
    </cfRule>
  </conditionalFormatting>
  <conditionalFormatting sqref="C167">
    <cfRule type="expression" priority="2033" dxfId="2">
      <formula>$G167&lt;&gt;"-"</formula>
    </cfRule>
  </conditionalFormatting>
  <conditionalFormatting sqref="D167">
    <cfRule type="expression" priority="2032" dxfId="1">
      <formula>$H167&lt;&gt;"-"</formula>
    </cfRule>
  </conditionalFormatting>
  <conditionalFormatting sqref="E167">
    <cfRule type="expression" priority="2031" dxfId="0">
      <formula>$I167&lt;&gt;"-"</formula>
    </cfRule>
  </conditionalFormatting>
  <conditionalFormatting sqref="B166">
    <cfRule type="expression" priority="2028" dxfId="11">
      <formula>AD166&lt;&gt;""</formula>
    </cfRule>
  </conditionalFormatting>
  <conditionalFormatting sqref="Z166">
    <cfRule type="cellIs" priority="2026" operator="greaterThan" dxfId="10">
      <formula>0</formula>
    </cfRule>
    <cfRule type="cellIs" priority="2027" operator="lessThan" dxfId="9">
      <formula>0</formula>
    </cfRule>
  </conditionalFormatting>
  <conditionalFormatting sqref="S166">
    <cfRule type="cellIs" priority="2025" operator="lessThan" dxfId="8">
      <formula>0</formula>
    </cfRule>
  </conditionalFormatting>
  <conditionalFormatting sqref="F166">
    <cfRule type="expression" priority="2022" dxfId="3">
      <formula>$K166&lt;&gt;""</formula>
    </cfRule>
  </conditionalFormatting>
  <conditionalFormatting sqref="C166">
    <cfRule type="expression" priority="2021" dxfId="2">
      <formula>$G166&lt;&gt;"-"</formula>
    </cfRule>
  </conditionalFormatting>
  <conditionalFormatting sqref="D166">
    <cfRule type="expression" priority="2020" dxfId="1">
      <formula>$H166&lt;&gt;"-"</formula>
    </cfRule>
  </conditionalFormatting>
  <conditionalFormatting sqref="E166">
    <cfRule type="expression" priority="2019" dxfId="0">
      <formula>$I166&lt;&gt;"-"</formula>
    </cfRule>
  </conditionalFormatting>
  <conditionalFormatting sqref="B177">
    <cfRule type="expression" priority="1987" dxfId="11">
      <formula>AD177&lt;&gt;""</formula>
    </cfRule>
  </conditionalFormatting>
  <conditionalFormatting sqref="Z177">
    <cfRule type="cellIs" priority="1985" operator="greaterThan" dxfId="10">
      <formula>0</formula>
    </cfRule>
    <cfRule type="cellIs" priority="1986" operator="lessThan" dxfId="9">
      <formula>0</formula>
    </cfRule>
  </conditionalFormatting>
  <conditionalFormatting sqref="S177">
    <cfRule type="cellIs" priority="1984" operator="lessThan" dxfId="8">
      <formula>0</formula>
    </cfRule>
  </conditionalFormatting>
  <conditionalFormatting sqref="T175:T176">
    <cfRule type="expression" priority="1988" dxfId="4">
      <formula>#REF!="Yes"</formula>
    </cfRule>
  </conditionalFormatting>
  <conditionalFormatting sqref="P177">
    <cfRule type="cellIs" priority="1982" operator="equal" dxfId="7">
      <formula>AS_DURATION_EFFORT</formula>
    </cfRule>
    <cfRule type="cellIs" priority="1983" operator="equal" dxfId="6">
      <formula>AS_DEV_EFFORT</formula>
    </cfRule>
  </conditionalFormatting>
  <conditionalFormatting sqref="B175:B176">
    <cfRule type="expression" priority="1981" dxfId="11">
      <formula>AD175&lt;&gt;""</formula>
    </cfRule>
  </conditionalFormatting>
  <conditionalFormatting sqref="F177">
    <cfRule type="expression" priority="1980" dxfId="3">
      <formula>$K177&lt;&gt;""</formula>
    </cfRule>
  </conditionalFormatting>
  <conditionalFormatting sqref="C177">
    <cfRule type="expression" priority="1979" dxfId="2">
      <formula>$G177&lt;&gt;"-"</formula>
    </cfRule>
  </conditionalFormatting>
  <conditionalFormatting sqref="D177">
    <cfRule type="expression" priority="1978" dxfId="1">
      <formula>$H177&lt;&gt;"-"</formula>
    </cfRule>
  </conditionalFormatting>
  <conditionalFormatting sqref="E177">
    <cfRule type="expression" priority="1977" dxfId="0">
      <formula>$I177&lt;&gt;"-"</formula>
    </cfRule>
  </conditionalFormatting>
  <conditionalFormatting sqref="B178">
    <cfRule type="expression" priority="1974" dxfId="11">
      <formula>AD178&lt;&gt;""</formula>
    </cfRule>
  </conditionalFormatting>
  <conditionalFormatting sqref="Z178">
    <cfRule type="cellIs" priority="1972" operator="greaterThan" dxfId="10">
      <formula>0</formula>
    </cfRule>
    <cfRule type="cellIs" priority="1973" operator="lessThan" dxfId="9">
      <formula>0</formula>
    </cfRule>
  </conditionalFormatting>
  <conditionalFormatting sqref="S178">
    <cfRule type="cellIs" priority="1971" operator="lessThan" dxfId="8">
      <formula>0</formula>
    </cfRule>
  </conditionalFormatting>
  <conditionalFormatting sqref="P178">
    <cfRule type="cellIs" priority="1969" operator="equal" dxfId="7">
      <formula>AS_DURATION_EFFORT</formula>
    </cfRule>
    <cfRule type="cellIs" priority="1970" operator="equal" dxfId="6">
      <formula>AS_DEV_EFFORT</formula>
    </cfRule>
  </conditionalFormatting>
  <conditionalFormatting sqref="F178">
    <cfRule type="expression" priority="1968" dxfId="3">
      <formula>$K178&lt;&gt;""</formula>
    </cfRule>
  </conditionalFormatting>
  <conditionalFormatting sqref="C178">
    <cfRule type="expression" priority="1967" dxfId="2">
      <formula>$G178&lt;&gt;"-"</formula>
    </cfRule>
  </conditionalFormatting>
  <conditionalFormatting sqref="D178">
    <cfRule type="expression" priority="1966" dxfId="1">
      <formula>$H178&lt;&gt;"-"</formula>
    </cfRule>
  </conditionalFormatting>
  <conditionalFormatting sqref="E178">
    <cfRule type="expression" priority="1965" dxfId="0">
      <formula>$I178&lt;&gt;"-"</formula>
    </cfRule>
  </conditionalFormatting>
  <conditionalFormatting sqref="B182">
    <cfRule type="expression" priority="1961" dxfId="11">
      <formula>AD182&lt;&gt;""</formula>
    </cfRule>
  </conditionalFormatting>
  <conditionalFormatting sqref="Z182">
    <cfRule type="cellIs" priority="1959" operator="greaterThan" dxfId="10">
      <formula>0</formula>
    </cfRule>
    <cfRule type="cellIs" priority="1960" operator="lessThan" dxfId="9">
      <formula>0</formula>
    </cfRule>
  </conditionalFormatting>
  <conditionalFormatting sqref="S182">
    <cfRule type="cellIs" priority="1958" operator="lessThan" dxfId="8">
      <formula>0</formula>
    </cfRule>
  </conditionalFormatting>
  <conditionalFormatting sqref="T180:T181">
    <cfRule type="expression" priority="1962" dxfId="4">
      <formula>#REF!="Yes"</formula>
    </cfRule>
  </conditionalFormatting>
  <conditionalFormatting sqref="P182">
    <cfRule type="cellIs" priority="1956" operator="equal" dxfId="7">
      <formula>AS_DURATION_EFFORT</formula>
    </cfRule>
    <cfRule type="cellIs" priority="1957" operator="equal" dxfId="6">
      <formula>AS_DEV_EFFORT</formula>
    </cfRule>
  </conditionalFormatting>
  <conditionalFormatting sqref="B180:B181">
    <cfRule type="expression" priority="1955" dxfId="11">
      <formula>AD180&lt;&gt;""</formula>
    </cfRule>
  </conditionalFormatting>
  <conditionalFormatting sqref="F182">
    <cfRule type="expression" priority="1954" dxfId="3">
      <formula>$K182&lt;&gt;""</formula>
    </cfRule>
  </conditionalFormatting>
  <conditionalFormatting sqref="C182">
    <cfRule type="expression" priority="1953" dxfId="2">
      <formula>$G182&lt;&gt;"-"</formula>
    </cfRule>
  </conditionalFormatting>
  <conditionalFormatting sqref="D182">
    <cfRule type="expression" priority="1952" dxfId="1">
      <formula>$H182&lt;&gt;"-"</formula>
    </cfRule>
  </conditionalFormatting>
  <conditionalFormatting sqref="E182">
    <cfRule type="expression" priority="1951" dxfId="0">
      <formula>$I182&lt;&gt;"-"</formula>
    </cfRule>
  </conditionalFormatting>
  <conditionalFormatting sqref="B186">
    <cfRule type="expression" priority="1923" dxfId="11">
      <formula>AD186&lt;&gt;""</formula>
    </cfRule>
  </conditionalFormatting>
  <conditionalFormatting sqref="Z186">
    <cfRule type="cellIs" priority="1921" operator="greaterThan" dxfId="10">
      <formula>0</formula>
    </cfRule>
    <cfRule type="cellIs" priority="1922" operator="lessThan" dxfId="9">
      <formula>0</formula>
    </cfRule>
  </conditionalFormatting>
  <conditionalFormatting sqref="S186">
    <cfRule type="cellIs" priority="1920" operator="lessThan" dxfId="8">
      <formula>0</formula>
    </cfRule>
  </conditionalFormatting>
  <conditionalFormatting sqref="T184:T185">
    <cfRule type="expression" priority="1924" dxfId="4">
      <formula>#REF!="Yes"</formula>
    </cfRule>
  </conditionalFormatting>
  <conditionalFormatting sqref="P186">
    <cfRule type="cellIs" priority="1918" operator="equal" dxfId="7">
      <formula>AS_DURATION_EFFORT</formula>
    </cfRule>
    <cfRule type="cellIs" priority="1919" operator="equal" dxfId="6">
      <formula>AS_DEV_EFFORT</formula>
    </cfRule>
  </conditionalFormatting>
  <conditionalFormatting sqref="B184:B185">
    <cfRule type="expression" priority="1917" dxfId="11">
      <formula>AD184&lt;&gt;""</formula>
    </cfRule>
  </conditionalFormatting>
  <conditionalFormatting sqref="F186">
    <cfRule type="expression" priority="1916" dxfId="3">
      <formula>$K186&lt;&gt;""</formula>
    </cfRule>
  </conditionalFormatting>
  <conditionalFormatting sqref="C186">
    <cfRule type="expression" priority="1915" dxfId="2">
      <formula>$G186&lt;&gt;"-"</formula>
    </cfRule>
  </conditionalFormatting>
  <conditionalFormatting sqref="D186">
    <cfRule type="expression" priority="1914" dxfId="1">
      <formula>$H186&lt;&gt;"-"</formula>
    </cfRule>
  </conditionalFormatting>
  <conditionalFormatting sqref="E186">
    <cfRule type="expression" priority="1913" dxfId="0">
      <formula>$I186&lt;&gt;"-"</formula>
    </cfRule>
  </conditionalFormatting>
  <conditionalFormatting sqref="B190">
    <cfRule type="expression" priority="1897" dxfId="11">
      <formula>AD190&lt;&gt;""</formula>
    </cfRule>
  </conditionalFormatting>
  <conditionalFormatting sqref="Z190">
    <cfRule type="cellIs" priority="1895" operator="greaterThan" dxfId="10">
      <formula>0</formula>
    </cfRule>
    <cfRule type="cellIs" priority="1896" operator="lessThan" dxfId="9">
      <formula>0</formula>
    </cfRule>
  </conditionalFormatting>
  <conditionalFormatting sqref="S190">
    <cfRule type="cellIs" priority="1894" operator="lessThan" dxfId="8">
      <formula>0</formula>
    </cfRule>
  </conditionalFormatting>
  <conditionalFormatting sqref="T188:T189">
    <cfRule type="expression" priority="1898" dxfId="4">
      <formula>#REF!="Yes"</formula>
    </cfRule>
  </conditionalFormatting>
  <conditionalFormatting sqref="P190">
    <cfRule type="cellIs" priority="1892" operator="equal" dxfId="7">
      <formula>AS_DURATION_EFFORT</formula>
    </cfRule>
    <cfRule type="cellIs" priority="1893" operator="equal" dxfId="6">
      <formula>AS_DEV_EFFORT</formula>
    </cfRule>
  </conditionalFormatting>
  <conditionalFormatting sqref="B188:B189">
    <cfRule type="expression" priority="1891" dxfId="11">
      <formula>AD188&lt;&gt;""</formula>
    </cfRule>
  </conditionalFormatting>
  <conditionalFormatting sqref="F190">
    <cfRule type="expression" priority="1890" dxfId="3">
      <formula>$K190&lt;&gt;""</formula>
    </cfRule>
  </conditionalFormatting>
  <conditionalFormatting sqref="C190">
    <cfRule type="expression" priority="1889" dxfId="2">
      <formula>$G190&lt;&gt;"-"</formula>
    </cfRule>
  </conditionalFormatting>
  <conditionalFormatting sqref="D190">
    <cfRule type="expression" priority="1888" dxfId="1">
      <formula>$H190&lt;&gt;"-"</formula>
    </cfRule>
  </conditionalFormatting>
  <conditionalFormatting sqref="E190">
    <cfRule type="expression" priority="1887" dxfId="0">
      <formula>$I190&lt;&gt;"-"</formula>
    </cfRule>
  </conditionalFormatting>
  <conditionalFormatting sqref="B193">
    <cfRule type="expression" priority="1884" dxfId="11">
      <formula>AD193&lt;&gt;""</formula>
    </cfRule>
  </conditionalFormatting>
  <conditionalFormatting sqref="Z193">
    <cfRule type="cellIs" priority="1882" operator="greaterThan" dxfId="10">
      <formula>0</formula>
    </cfRule>
    <cfRule type="cellIs" priority="1883" operator="lessThan" dxfId="9">
      <formula>0</formula>
    </cfRule>
  </conditionalFormatting>
  <conditionalFormatting sqref="S193">
    <cfRule type="cellIs" priority="1881" operator="lessThan" dxfId="8">
      <formula>0</formula>
    </cfRule>
  </conditionalFormatting>
  <conditionalFormatting sqref="P193">
    <cfRule type="cellIs" priority="1879" operator="equal" dxfId="7">
      <formula>AS_DURATION_EFFORT</formula>
    </cfRule>
    <cfRule type="cellIs" priority="1880" operator="equal" dxfId="6">
      <formula>AS_DEV_EFFORT</formula>
    </cfRule>
  </conditionalFormatting>
  <conditionalFormatting sqref="F193">
    <cfRule type="expression" priority="1878" dxfId="3">
      <formula>$K193&lt;&gt;""</formula>
    </cfRule>
  </conditionalFormatting>
  <conditionalFormatting sqref="C193">
    <cfRule type="expression" priority="1877" dxfId="2">
      <formula>$G193&lt;&gt;"-"</formula>
    </cfRule>
  </conditionalFormatting>
  <conditionalFormatting sqref="D193">
    <cfRule type="expression" priority="1876" dxfId="1">
      <formula>$H193&lt;&gt;"-"</formula>
    </cfRule>
  </conditionalFormatting>
  <conditionalFormatting sqref="E193">
    <cfRule type="expression" priority="1875" dxfId="0">
      <formula>$I193&lt;&gt;"-"</formula>
    </cfRule>
  </conditionalFormatting>
  <conditionalFormatting sqref="B192">
    <cfRule type="expression" priority="1872" dxfId="11">
      <formula>AD192&lt;&gt;""</formula>
    </cfRule>
  </conditionalFormatting>
  <conditionalFormatting sqref="Z192">
    <cfRule type="cellIs" priority="1870" operator="greaterThan" dxfId="10">
      <formula>0</formula>
    </cfRule>
    <cfRule type="cellIs" priority="1871" operator="lessThan" dxfId="9">
      <formula>0</formula>
    </cfRule>
  </conditionalFormatting>
  <conditionalFormatting sqref="S192">
    <cfRule type="cellIs" priority="1869" operator="lessThan" dxfId="8">
      <formula>0</formula>
    </cfRule>
  </conditionalFormatting>
  <conditionalFormatting sqref="P192">
    <cfRule type="cellIs" priority="1867" operator="equal" dxfId="7">
      <formula>AS_DURATION_EFFORT</formula>
    </cfRule>
    <cfRule type="cellIs" priority="1868" operator="equal" dxfId="6">
      <formula>AS_DEV_EFFORT</formula>
    </cfRule>
  </conditionalFormatting>
  <conditionalFormatting sqref="F192">
    <cfRule type="expression" priority="1866" dxfId="3">
      <formula>$K192&lt;&gt;""</formula>
    </cfRule>
  </conditionalFormatting>
  <conditionalFormatting sqref="C192">
    <cfRule type="expression" priority="1865" dxfId="2">
      <formula>$G192&lt;&gt;"-"</formula>
    </cfRule>
  </conditionalFormatting>
  <conditionalFormatting sqref="D192">
    <cfRule type="expression" priority="1864" dxfId="1">
      <formula>$H192&lt;&gt;"-"</formula>
    </cfRule>
  </conditionalFormatting>
  <conditionalFormatting sqref="E192">
    <cfRule type="expression" priority="1863" dxfId="0">
      <formula>$I192&lt;&gt;"-"</formula>
    </cfRule>
  </conditionalFormatting>
  <conditionalFormatting sqref="B191">
    <cfRule type="expression" priority="1860" dxfId="11">
      <formula>AD191&lt;&gt;""</formula>
    </cfRule>
  </conditionalFormatting>
  <conditionalFormatting sqref="Z191">
    <cfRule type="cellIs" priority="1858" operator="greaterThan" dxfId="10">
      <formula>0</formula>
    </cfRule>
    <cfRule type="cellIs" priority="1859" operator="lessThan" dxfId="9">
      <formula>0</formula>
    </cfRule>
  </conditionalFormatting>
  <conditionalFormatting sqref="S191">
    <cfRule type="cellIs" priority="1857" operator="lessThan" dxfId="8">
      <formula>0</formula>
    </cfRule>
  </conditionalFormatting>
  <conditionalFormatting sqref="P191">
    <cfRule type="cellIs" priority="1855" operator="equal" dxfId="7">
      <formula>AS_DURATION_EFFORT</formula>
    </cfRule>
    <cfRule type="cellIs" priority="1856" operator="equal" dxfId="6">
      <formula>AS_DEV_EFFORT</formula>
    </cfRule>
  </conditionalFormatting>
  <conditionalFormatting sqref="F191">
    <cfRule type="expression" priority="1854" dxfId="3">
      <formula>$K191&lt;&gt;""</formula>
    </cfRule>
  </conditionalFormatting>
  <conditionalFormatting sqref="C191">
    <cfRule type="expression" priority="1853" dxfId="2">
      <formula>$G191&lt;&gt;"-"</formula>
    </cfRule>
  </conditionalFormatting>
  <conditionalFormatting sqref="D191">
    <cfRule type="expression" priority="1852" dxfId="1">
      <formula>$H191&lt;&gt;"-"</formula>
    </cfRule>
  </conditionalFormatting>
  <conditionalFormatting sqref="E191">
    <cfRule type="expression" priority="1851" dxfId="0">
      <formula>$I191&lt;&gt;"-"</formula>
    </cfRule>
  </conditionalFormatting>
  <conditionalFormatting sqref="B200">
    <cfRule type="expression" priority="1841" dxfId="11">
      <formula>AD200&lt;&gt;""</formula>
    </cfRule>
  </conditionalFormatting>
  <conditionalFormatting sqref="Z200">
    <cfRule type="cellIs" priority="1839" operator="greaterThan" dxfId="10">
      <formula>0</formula>
    </cfRule>
    <cfRule type="cellIs" priority="1840" operator="lessThan" dxfId="9">
      <formula>0</formula>
    </cfRule>
  </conditionalFormatting>
  <conditionalFormatting sqref="S200">
    <cfRule type="cellIs" priority="1838" operator="lessThan" dxfId="8">
      <formula>0</formula>
    </cfRule>
  </conditionalFormatting>
  <conditionalFormatting sqref="T198:T199">
    <cfRule type="expression" priority="1842" dxfId="4">
      <formula>#REF!="Yes"</formula>
    </cfRule>
  </conditionalFormatting>
  <conditionalFormatting sqref="P200">
    <cfRule type="cellIs" priority="1836" operator="equal" dxfId="7">
      <formula>AS_DURATION_EFFORT</formula>
    </cfRule>
    <cfRule type="cellIs" priority="1837" operator="equal" dxfId="6">
      <formula>AS_DEV_EFFORT</formula>
    </cfRule>
  </conditionalFormatting>
  <conditionalFormatting sqref="B198:B199">
    <cfRule type="expression" priority="1835" dxfId="11">
      <formula>AD198&lt;&gt;""</formula>
    </cfRule>
  </conditionalFormatting>
  <conditionalFormatting sqref="F200">
    <cfRule type="expression" priority="1834" dxfId="3">
      <formula>$K200&lt;&gt;""</formula>
    </cfRule>
  </conditionalFormatting>
  <conditionalFormatting sqref="C200">
    <cfRule type="expression" priority="1833" dxfId="2">
      <formula>$G200&lt;&gt;"-"</formula>
    </cfRule>
  </conditionalFormatting>
  <conditionalFormatting sqref="D200">
    <cfRule type="expression" priority="1832" dxfId="1">
      <formula>$H200&lt;&gt;"-"</formula>
    </cfRule>
  </conditionalFormatting>
  <conditionalFormatting sqref="E200">
    <cfRule type="expression" priority="1831" dxfId="0">
      <formula>$I200&lt;&gt;"-"</formula>
    </cfRule>
  </conditionalFormatting>
  <conditionalFormatting sqref="B18">
    <cfRule type="expression" priority="888" dxfId="11">
      <formula>AD18&lt;&gt;""</formula>
    </cfRule>
  </conditionalFormatting>
  <conditionalFormatting sqref="Z18">
    <cfRule type="cellIs" priority="886" operator="greaterThan" dxfId="10">
      <formula>0</formula>
    </cfRule>
    <cfRule type="cellIs" priority="887" operator="lessThan" dxfId="9">
      <formula>0</formula>
    </cfRule>
  </conditionalFormatting>
  <conditionalFormatting sqref="S18">
    <cfRule type="cellIs" priority="885" operator="lessThan" dxfId="8">
      <formula>0</formula>
    </cfRule>
  </conditionalFormatting>
  <conditionalFormatting sqref="L18:M18 O18 R18:AC18">
    <cfRule type="expression" priority="889" dxfId="5">
      <formula>AND($G18="Yes", $S$6="Exclude")</formula>
    </cfRule>
    <cfRule type="expression" priority="890" dxfId="4">
      <formula>$J18="Yes"</formula>
    </cfRule>
  </conditionalFormatting>
  <conditionalFormatting sqref="F18">
    <cfRule type="expression" priority="882" dxfId="3">
      <formula>$K18&lt;&gt;""</formula>
    </cfRule>
  </conditionalFormatting>
  <conditionalFormatting sqref="C18">
    <cfRule type="expression" priority="881" dxfId="2">
      <formula>$G18&lt;&gt;"-"</formula>
    </cfRule>
  </conditionalFormatting>
  <conditionalFormatting sqref="D18">
    <cfRule type="expression" priority="880" dxfId="1">
      <formula>$H18&lt;&gt;"-"</formula>
    </cfRule>
  </conditionalFormatting>
  <conditionalFormatting sqref="E18">
    <cfRule type="expression" priority="879" dxfId="0">
      <formula>$I18&lt;&gt;"-"</formula>
    </cfRule>
  </conditionalFormatting>
  <conditionalFormatting sqref="B28">
    <cfRule type="expression" priority="875" dxfId="11">
      <formula>AD28&lt;&gt;""</formula>
    </cfRule>
  </conditionalFormatting>
  <conditionalFormatting sqref="Z28">
    <cfRule type="cellIs" priority="873" operator="greaterThan" dxfId="10">
      <formula>0</formula>
    </cfRule>
    <cfRule type="cellIs" priority="874" operator="lessThan" dxfId="9">
      <formula>0</formula>
    </cfRule>
  </conditionalFormatting>
  <conditionalFormatting sqref="S28">
    <cfRule type="cellIs" priority="872" operator="lessThan" dxfId="8">
      <formula>0</formula>
    </cfRule>
  </conditionalFormatting>
  <conditionalFormatting sqref="T26:T27">
    <cfRule type="expression" priority="876" dxfId="4">
      <formula>#REF!="Yes"</formula>
    </cfRule>
  </conditionalFormatting>
  <conditionalFormatting sqref="P28">
    <cfRule type="cellIs" priority="870" operator="equal" dxfId="7">
      <formula>AS_DURATION_EFFORT</formula>
    </cfRule>
    <cfRule type="cellIs" priority="871" operator="equal" dxfId="6">
      <formula>AS_DEV_EFFORT</formula>
    </cfRule>
  </conditionalFormatting>
  <conditionalFormatting sqref="B26:B27">
    <cfRule type="expression" priority="869" dxfId="11">
      <formula>AD26&lt;&gt;""</formula>
    </cfRule>
  </conditionalFormatting>
  <conditionalFormatting sqref="F28">
    <cfRule type="expression" priority="868" dxfId="3">
      <formula>$K28&lt;&gt;""</formula>
    </cfRule>
  </conditionalFormatting>
  <conditionalFormatting sqref="C28">
    <cfRule type="expression" priority="867" dxfId="2">
      <formula>$G28&lt;&gt;"-"</formula>
    </cfRule>
  </conditionalFormatting>
  <conditionalFormatting sqref="D28">
    <cfRule type="expression" priority="866" dxfId="1">
      <formula>$H28&lt;&gt;"-"</formula>
    </cfRule>
  </conditionalFormatting>
  <conditionalFormatting sqref="E28">
    <cfRule type="expression" priority="865" dxfId="0">
      <formula>$I28&lt;&gt;"-"</formula>
    </cfRule>
  </conditionalFormatting>
  <conditionalFormatting sqref="B35">
    <cfRule type="expression" priority="861" dxfId="11">
      <formula>AD35&lt;&gt;""</formula>
    </cfRule>
  </conditionalFormatting>
  <conditionalFormatting sqref="Z35">
    <cfRule type="cellIs" priority="859" operator="greaterThan" dxfId="10">
      <formula>0</formula>
    </cfRule>
    <cfRule type="cellIs" priority="860" operator="lessThan" dxfId="9">
      <formula>0</formula>
    </cfRule>
  </conditionalFormatting>
  <conditionalFormatting sqref="S35">
    <cfRule type="cellIs" priority="858" operator="lessThan" dxfId="8">
      <formula>0</formula>
    </cfRule>
  </conditionalFormatting>
  <conditionalFormatting sqref="T33:T34">
    <cfRule type="expression" priority="862" dxfId="4">
      <formula>#REF!="Yes"</formula>
    </cfRule>
  </conditionalFormatting>
  <conditionalFormatting sqref="P35">
    <cfRule type="cellIs" priority="856" operator="equal" dxfId="7">
      <formula>AS_DURATION_EFFORT</formula>
    </cfRule>
    <cfRule type="cellIs" priority="857" operator="equal" dxfId="6">
      <formula>AS_DEV_EFFORT</formula>
    </cfRule>
  </conditionalFormatting>
  <conditionalFormatting sqref="B33:B34">
    <cfRule type="expression" priority="855" dxfId="11">
      <formula>AD33&lt;&gt;""</formula>
    </cfRule>
  </conditionalFormatting>
  <conditionalFormatting sqref="F35">
    <cfRule type="expression" priority="854" dxfId="3">
      <formula>$K35&lt;&gt;""</formula>
    </cfRule>
  </conditionalFormatting>
  <conditionalFormatting sqref="C35">
    <cfRule type="expression" priority="853" dxfId="2">
      <formula>$G35&lt;&gt;"-"</formula>
    </cfRule>
  </conditionalFormatting>
  <conditionalFormatting sqref="D35">
    <cfRule type="expression" priority="852" dxfId="1">
      <formula>$H35&lt;&gt;"-"</formula>
    </cfRule>
  </conditionalFormatting>
  <conditionalFormatting sqref="E35">
    <cfRule type="expression" priority="851" dxfId="0">
      <formula>$I35&lt;&gt;"-"</formula>
    </cfRule>
  </conditionalFormatting>
  <conditionalFormatting sqref="B43">
    <cfRule type="expression" priority="847" dxfId="11">
      <formula>AD43&lt;&gt;""</formula>
    </cfRule>
  </conditionalFormatting>
  <conditionalFormatting sqref="Z43">
    <cfRule type="cellIs" priority="845" operator="greaterThan" dxfId="10">
      <formula>0</formula>
    </cfRule>
    <cfRule type="cellIs" priority="846" operator="lessThan" dxfId="9">
      <formula>0</formula>
    </cfRule>
  </conditionalFormatting>
  <conditionalFormatting sqref="S43">
    <cfRule type="cellIs" priority="844" operator="lessThan" dxfId="8">
      <formula>0</formula>
    </cfRule>
  </conditionalFormatting>
  <conditionalFormatting sqref="T41:T42">
    <cfRule type="expression" priority="848" dxfId="4">
      <formula>#REF!="Yes"</formula>
    </cfRule>
  </conditionalFormatting>
  <conditionalFormatting sqref="P43">
    <cfRule type="cellIs" priority="842" operator="equal" dxfId="7">
      <formula>AS_DURATION_EFFORT</formula>
    </cfRule>
    <cfRule type="cellIs" priority="843" operator="equal" dxfId="6">
      <formula>AS_DEV_EFFORT</formula>
    </cfRule>
    <cfRule type="cellIs" priority="651" operator="equal" dxfId="7">
      <formula>AS_DURATION_EFFORT</formula>
    </cfRule>
    <cfRule type="cellIs" priority="652" operator="equal" dxfId="6">
      <formula>AS_DEV_EFFORT</formula>
    </cfRule>
  </conditionalFormatting>
  <conditionalFormatting sqref="B41:B42">
    <cfRule type="expression" priority="841" dxfId="11">
      <formula>AD41&lt;&gt;""</formula>
    </cfRule>
  </conditionalFormatting>
  <conditionalFormatting sqref="F43">
    <cfRule type="expression" priority="840" dxfId="3">
      <formula>$K43&lt;&gt;""</formula>
    </cfRule>
  </conditionalFormatting>
  <conditionalFormatting sqref="C43">
    <cfRule type="expression" priority="839" dxfId="2">
      <formula>$G43&lt;&gt;"-"</formula>
    </cfRule>
  </conditionalFormatting>
  <conditionalFormatting sqref="D43">
    <cfRule type="expression" priority="838" dxfId="1">
      <formula>$H43&lt;&gt;"-"</formula>
    </cfRule>
  </conditionalFormatting>
  <conditionalFormatting sqref="E43">
    <cfRule type="expression" priority="837" dxfId="0">
      <formula>$I43&lt;&gt;"-"</formula>
    </cfRule>
  </conditionalFormatting>
  <conditionalFormatting sqref="B49">
    <cfRule type="expression" priority="833" dxfId="11">
      <formula>AD49&lt;&gt;""</formula>
    </cfRule>
  </conditionalFormatting>
  <conditionalFormatting sqref="Z49">
    <cfRule type="cellIs" priority="831" operator="greaterThan" dxfId="10">
      <formula>0</formula>
    </cfRule>
    <cfRule type="cellIs" priority="832" operator="lessThan" dxfId="9">
      <formula>0</formula>
    </cfRule>
  </conditionalFormatting>
  <conditionalFormatting sqref="S49">
    <cfRule type="cellIs" priority="830" operator="lessThan" dxfId="8">
      <formula>0</formula>
    </cfRule>
  </conditionalFormatting>
  <conditionalFormatting sqref="T47:T48">
    <cfRule type="expression" priority="834" dxfId="4">
      <formula>#REF!="Yes"</formula>
    </cfRule>
  </conditionalFormatting>
  <conditionalFormatting sqref="P49">
    <cfRule type="cellIs" priority="828" operator="equal" dxfId="7">
      <formula>AS_DURATION_EFFORT</formula>
    </cfRule>
    <cfRule type="cellIs" priority="829" operator="equal" dxfId="6">
      <formula>AS_DEV_EFFORT</formula>
    </cfRule>
  </conditionalFormatting>
  <conditionalFormatting sqref="B47:B48">
    <cfRule type="expression" priority="827" dxfId="11">
      <formula>AD47&lt;&gt;""</formula>
    </cfRule>
  </conditionalFormatting>
  <conditionalFormatting sqref="F49">
    <cfRule type="expression" priority="826" dxfId="3">
      <formula>$K49&lt;&gt;""</formula>
    </cfRule>
  </conditionalFormatting>
  <conditionalFormatting sqref="C49">
    <cfRule type="expression" priority="825" dxfId="2">
      <formula>$G49&lt;&gt;"-"</formula>
    </cfRule>
  </conditionalFormatting>
  <conditionalFormatting sqref="D49">
    <cfRule type="expression" priority="824" dxfId="1">
      <formula>$H49&lt;&gt;"-"</formula>
    </cfRule>
  </conditionalFormatting>
  <conditionalFormatting sqref="E49">
    <cfRule type="expression" priority="823" dxfId="0">
      <formula>$I49&lt;&gt;"-"</formula>
    </cfRule>
  </conditionalFormatting>
  <conditionalFormatting sqref="B58">
    <cfRule type="expression" priority="819" dxfId="11">
      <formula>AD58&lt;&gt;""</formula>
    </cfRule>
  </conditionalFormatting>
  <conditionalFormatting sqref="Z58">
    <cfRule type="cellIs" priority="817" operator="greaterThan" dxfId="10">
      <formula>0</formula>
    </cfRule>
    <cfRule type="cellIs" priority="818" operator="lessThan" dxfId="9">
      <formula>0</formula>
    </cfRule>
  </conditionalFormatting>
  <conditionalFormatting sqref="S58">
    <cfRule type="cellIs" priority="816" operator="lessThan" dxfId="8">
      <formula>0</formula>
    </cfRule>
  </conditionalFormatting>
  <conditionalFormatting sqref="T56:T57">
    <cfRule type="expression" priority="820" dxfId="4">
      <formula>#REF!="Yes"</formula>
    </cfRule>
  </conditionalFormatting>
  <conditionalFormatting sqref="P58">
    <cfRule type="cellIs" priority="814" operator="equal" dxfId="7">
      <formula>AS_DURATION_EFFORT</formula>
    </cfRule>
    <cfRule type="cellIs" priority="815" operator="equal" dxfId="6">
      <formula>AS_DEV_EFFORT</formula>
    </cfRule>
  </conditionalFormatting>
  <conditionalFormatting sqref="B56:B57">
    <cfRule type="expression" priority="813" dxfId="11">
      <formula>AD56&lt;&gt;""</formula>
    </cfRule>
  </conditionalFormatting>
  <conditionalFormatting sqref="F58">
    <cfRule type="expression" priority="812" dxfId="3">
      <formula>$K58&lt;&gt;""</formula>
    </cfRule>
  </conditionalFormatting>
  <conditionalFormatting sqref="C58">
    <cfRule type="expression" priority="811" dxfId="2">
      <formula>$G58&lt;&gt;"-"</formula>
    </cfRule>
  </conditionalFormatting>
  <conditionalFormatting sqref="D58">
    <cfRule type="expression" priority="810" dxfId="1">
      <formula>$H58&lt;&gt;"-"</formula>
    </cfRule>
  </conditionalFormatting>
  <conditionalFormatting sqref="E58">
    <cfRule type="expression" priority="809" dxfId="0">
      <formula>$I58&lt;&gt;"-"</formula>
    </cfRule>
  </conditionalFormatting>
  <conditionalFormatting sqref="N18">
    <cfRule type="expression" priority="807" dxfId="5">
      <formula>AND($G18="Yes", $S$6="Exclude")</formula>
    </cfRule>
    <cfRule type="expression" priority="808" dxfId="4">
      <formula>$J18="Yes"</formula>
    </cfRule>
  </conditionalFormatting>
  <conditionalFormatting sqref="P18">
    <cfRule type="cellIs" priority="803" operator="equal" dxfId="7">
      <formula>AS_DURATION_EFFORT</formula>
    </cfRule>
    <cfRule type="cellIs" priority="804" operator="equal" dxfId="6">
      <formula>AS_DEV_EFFORT</formula>
    </cfRule>
  </conditionalFormatting>
  <conditionalFormatting sqref="P18:Q18">
    <cfRule type="expression" priority="805" dxfId="5">
      <formula>AND($G18="Yes", $S$6="Exclude")</formula>
    </cfRule>
    <cfRule type="expression" priority="806" dxfId="4">
      <formula>$J18="Yes"</formula>
    </cfRule>
  </conditionalFormatting>
  <conditionalFormatting sqref="B22">
    <cfRule type="expression" priority="800" dxfId="11">
      <formula>AD22&lt;&gt;""</formula>
    </cfRule>
  </conditionalFormatting>
  <conditionalFormatting sqref="Z22">
    <cfRule type="cellIs" priority="798" operator="greaterThan" dxfId="10">
      <formula>0</formula>
    </cfRule>
    <cfRule type="cellIs" priority="799" operator="lessThan" dxfId="9">
      <formula>0</formula>
    </cfRule>
  </conditionalFormatting>
  <conditionalFormatting sqref="S22">
    <cfRule type="cellIs" priority="797" operator="lessThan" dxfId="8">
      <formula>0</formula>
    </cfRule>
  </conditionalFormatting>
  <conditionalFormatting sqref="P22">
    <cfRule type="cellIs" priority="795" operator="equal" dxfId="7">
      <formula>AS_DURATION_EFFORT</formula>
    </cfRule>
    <cfRule type="cellIs" priority="796" operator="equal" dxfId="6">
      <formula>AS_DEV_EFFORT</formula>
    </cfRule>
  </conditionalFormatting>
  <conditionalFormatting sqref="L22:M22 O22:AC22">
    <cfRule type="expression" priority="801" dxfId="5">
      <formula>AND($G22="Yes", $S$6="Exclude")</formula>
    </cfRule>
    <cfRule type="expression" priority="802" dxfId="4">
      <formula>$J22="Yes"</formula>
    </cfRule>
  </conditionalFormatting>
  <conditionalFormatting sqref="F22">
    <cfRule type="expression" priority="794" dxfId="3">
      <formula>$K22&lt;&gt;""</formula>
    </cfRule>
  </conditionalFormatting>
  <conditionalFormatting sqref="C22">
    <cfRule type="expression" priority="793" dxfId="2">
      <formula>$G22&lt;&gt;"-"</formula>
    </cfRule>
  </conditionalFormatting>
  <conditionalFormatting sqref="D22">
    <cfRule type="expression" priority="792" dxfId="1">
      <formula>$H22&lt;&gt;"-"</formula>
    </cfRule>
  </conditionalFormatting>
  <conditionalFormatting sqref="E22">
    <cfRule type="expression" priority="791" dxfId="0">
      <formula>$I22&lt;&gt;"-"</formula>
    </cfRule>
  </conditionalFormatting>
  <conditionalFormatting sqref="N22">
    <cfRule type="expression" priority="789" dxfId="5">
      <formula>AND($G22="Yes", $S$6="Exclude")</formula>
    </cfRule>
    <cfRule type="expression" priority="790" dxfId="4">
      <formula>$J22="Yes"</formula>
    </cfRule>
  </conditionalFormatting>
  <conditionalFormatting sqref="B31">
    <cfRule type="expression" priority="786" dxfId="11">
      <formula>AD31&lt;&gt;""</formula>
    </cfRule>
  </conditionalFormatting>
  <conditionalFormatting sqref="Z31">
    <cfRule type="cellIs" priority="784" operator="greaterThan" dxfId="10">
      <formula>0</formula>
    </cfRule>
    <cfRule type="cellIs" priority="785" operator="lessThan" dxfId="9">
      <formula>0</formula>
    </cfRule>
  </conditionalFormatting>
  <conditionalFormatting sqref="S31">
    <cfRule type="cellIs" priority="783" operator="lessThan" dxfId="8">
      <formula>0</formula>
    </cfRule>
  </conditionalFormatting>
  <conditionalFormatting sqref="P31">
    <cfRule type="cellIs" priority="781" operator="equal" dxfId="7">
      <formula>AS_DURATION_EFFORT</formula>
    </cfRule>
    <cfRule type="cellIs" priority="782" operator="equal" dxfId="6">
      <formula>AS_DEV_EFFORT</formula>
    </cfRule>
  </conditionalFormatting>
  <conditionalFormatting sqref="L31:M31 O31:AC31">
    <cfRule type="expression" priority="787" dxfId="5">
      <formula>AND($G31="Yes", $S$6="Exclude")</formula>
    </cfRule>
    <cfRule type="expression" priority="788" dxfId="4">
      <formula>$J31="Yes"</formula>
    </cfRule>
  </conditionalFormatting>
  <conditionalFormatting sqref="F31">
    <cfRule type="expression" priority="780" dxfId="3">
      <formula>$K31&lt;&gt;""</formula>
    </cfRule>
  </conditionalFormatting>
  <conditionalFormatting sqref="C31">
    <cfRule type="expression" priority="779" dxfId="2">
      <formula>$G31&lt;&gt;"-"</formula>
    </cfRule>
  </conditionalFormatting>
  <conditionalFormatting sqref="D31">
    <cfRule type="expression" priority="778" dxfId="1">
      <formula>$H31&lt;&gt;"-"</formula>
    </cfRule>
  </conditionalFormatting>
  <conditionalFormatting sqref="E31">
    <cfRule type="expression" priority="777" dxfId="0">
      <formula>$I31&lt;&gt;"-"</formula>
    </cfRule>
  </conditionalFormatting>
  <conditionalFormatting sqref="B30">
    <cfRule type="expression" priority="774" dxfId="11">
      <formula>AD30&lt;&gt;""</formula>
    </cfRule>
  </conditionalFormatting>
  <conditionalFormatting sqref="Z30">
    <cfRule type="cellIs" priority="772" operator="greaterThan" dxfId="10">
      <formula>0</formula>
    </cfRule>
    <cfRule type="cellIs" priority="773" operator="lessThan" dxfId="9">
      <formula>0</formula>
    </cfRule>
  </conditionalFormatting>
  <conditionalFormatting sqref="S30">
    <cfRule type="cellIs" priority="771" operator="lessThan" dxfId="8">
      <formula>0</formula>
    </cfRule>
  </conditionalFormatting>
  <conditionalFormatting sqref="P30">
    <cfRule type="cellIs" priority="769" operator="equal" dxfId="7">
      <formula>AS_DURATION_EFFORT</formula>
    </cfRule>
    <cfRule type="cellIs" priority="770" operator="equal" dxfId="6">
      <formula>AS_DEV_EFFORT</formula>
    </cfRule>
  </conditionalFormatting>
  <conditionalFormatting sqref="L30:M30 P30:AC30">
    <cfRule type="expression" priority="775" dxfId="5">
      <formula>AND($G30="Yes", $S$6="Exclude")</formula>
    </cfRule>
    <cfRule type="expression" priority="776" dxfId="4">
      <formula>$J30="Yes"</formula>
    </cfRule>
  </conditionalFormatting>
  <conditionalFormatting sqref="F30">
    <cfRule type="expression" priority="768" dxfId="3">
      <formula>$K30&lt;&gt;""</formula>
    </cfRule>
  </conditionalFormatting>
  <conditionalFormatting sqref="C30">
    <cfRule type="expression" priority="767" dxfId="2">
      <formula>$G30&lt;&gt;"-"</formula>
    </cfRule>
  </conditionalFormatting>
  <conditionalFormatting sqref="D30">
    <cfRule type="expression" priority="766" dxfId="1">
      <formula>$H30&lt;&gt;"-"</formula>
    </cfRule>
  </conditionalFormatting>
  <conditionalFormatting sqref="E30">
    <cfRule type="expression" priority="765" dxfId="0">
      <formula>$I30&lt;&gt;"-"</formula>
    </cfRule>
  </conditionalFormatting>
  <conditionalFormatting sqref="B29">
    <cfRule type="expression" priority="762" dxfId="11">
      <formula>AD29&lt;&gt;""</formula>
    </cfRule>
  </conditionalFormatting>
  <conditionalFormatting sqref="Z29">
    <cfRule type="cellIs" priority="760" operator="greaterThan" dxfId="10">
      <formula>0</formula>
    </cfRule>
    <cfRule type="cellIs" priority="761" operator="lessThan" dxfId="9">
      <formula>0</formula>
    </cfRule>
  </conditionalFormatting>
  <conditionalFormatting sqref="S29">
    <cfRule type="cellIs" priority="759" operator="lessThan" dxfId="8">
      <formula>0</formula>
    </cfRule>
  </conditionalFormatting>
  <conditionalFormatting sqref="P29">
    <cfRule type="cellIs" priority="757" operator="equal" dxfId="7">
      <formula>AS_DURATION_EFFORT</formula>
    </cfRule>
    <cfRule type="cellIs" priority="758" operator="equal" dxfId="6">
      <formula>AS_DEV_EFFORT</formula>
    </cfRule>
  </conditionalFormatting>
  <conditionalFormatting sqref="L29:M29 P29:AC29">
    <cfRule type="expression" priority="763" dxfId="5">
      <formula>AND($G29="Yes", $S$6="Exclude")</formula>
    </cfRule>
    <cfRule type="expression" priority="764" dxfId="4">
      <formula>$J29="Yes"</formula>
    </cfRule>
  </conditionalFormatting>
  <conditionalFormatting sqref="F29">
    <cfRule type="expression" priority="756" dxfId="3">
      <formula>$K29&lt;&gt;""</formula>
    </cfRule>
  </conditionalFormatting>
  <conditionalFormatting sqref="C29">
    <cfRule type="expression" priority="755" dxfId="2">
      <formula>$G29&lt;&gt;"-"</formula>
    </cfRule>
  </conditionalFormatting>
  <conditionalFormatting sqref="D29">
    <cfRule type="expression" priority="754" dxfId="1">
      <formula>$H29&lt;&gt;"-"</formula>
    </cfRule>
  </conditionalFormatting>
  <conditionalFormatting sqref="E29">
    <cfRule type="expression" priority="753" dxfId="0">
      <formula>$I29&lt;&gt;"-"</formula>
    </cfRule>
  </conditionalFormatting>
  <conditionalFormatting sqref="N30:N31">
    <cfRule type="expression" priority="751" dxfId="5">
      <formula>AND($G30="Yes", $S$6="Exclude")</formula>
    </cfRule>
    <cfRule type="expression" priority="752" dxfId="4">
      <formula>$J30="Yes"</formula>
    </cfRule>
  </conditionalFormatting>
  <conditionalFormatting sqref="N28">
    <cfRule type="expression" priority="749" dxfId="5">
      <formula>AND($G28="Yes", $S$6="Exclude")</formula>
    </cfRule>
    <cfRule type="expression" priority="750" dxfId="4">
      <formula>$J28="Yes"</formula>
    </cfRule>
  </conditionalFormatting>
  <conditionalFormatting sqref="N29">
    <cfRule type="expression" priority="747" dxfId="5">
      <formula>AND($G29="Yes", $S$6="Exclude")</formula>
    </cfRule>
    <cfRule type="expression" priority="748" dxfId="4">
      <formula>$J29="Yes"</formula>
    </cfRule>
  </conditionalFormatting>
  <conditionalFormatting sqref="O30">
    <cfRule type="expression" priority="745" dxfId="5">
      <formula>AND($G30="Yes", $S$6="Exclude")</formula>
    </cfRule>
    <cfRule type="expression" priority="746" dxfId="4">
      <formula>$J30="Yes"</formula>
    </cfRule>
  </conditionalFormatting>
  <conditionalFormatting sqref="O29">
    <cfRule type="expression" priority="743" dxfId="5">
      <formula>AND($G29="Yes", $S$6="Exclude")</formula>
    </cfRule>
    <cfRule type="expression" priority="744" dxfId="4">
      <formula>$J29="Yes"</formula>
    </cfRule>
  </conditionalFormatting>
  <conditionalFormatting sqref="B39">
    <cfRule type="expression" priority="740" dxfId="11">
      <formula>AD39&lt;&gt;""</formula>
    </cfRule>
  </conditionalFormatting>
  <conditionalFormatting sqref="Z39">
    <cfRule type="cellIs" priority="738" operator="greaterThan" dxfId="10">
      <formula>0</formula>
    </cfRule>
    <cfRule type="cellIs" priority="739" operator="lessThan" dxfId="9">
      <formula>0</formula>
    </cfRule>
  </conditionalFormatting>
  <conditionalFormatting sqref="S39">
    <cfRule type="cellIs" priority="737" operator="lessThan" dxfId="8">
      <formula>0</formula>
    </cfRule>
  </conditionalFormatting>
  <conditionalFormatting sqref="P39">
    <cfRule type="cellIs" priority="735" operator="equal" dxfId="7">
      <formula>AS_DURATION_EFFORT</formula>
    </cfRule>
    <cfRule type="cellIs" priority="736" operator="equal" dxfId="6">
      <formula>AS_DEV_EFFORT</formula>
    </cfRule>
  </conditionalFormatting>
  <conditionalFormatting sqref="L39:M39 O39:AC39">
    <cfRule type="expression" priority="741" dxfId="5">
      <formula>AND($G39="Yes", $S$6="Exclude")</formula>
    </cfRule>
    <cfRule type="expression" priority="742" dxfId="4">
      <formula>$J39="Yes"</formula>
    </cfRule>
  </conditionalFormatting>
  <conditionalFormatting sqref="F39">
    <cfRule type="expression" priority="734" dxfId="3">
      <formula>$K39&lt;&gt;""</formula>
    </cfRule>
  </conditionalFormatting>
  <conditionalFormatting sqref="C39">
    <cfRule type="expression" priority="733" dxfId="2">
      <formula>$G39&lt;&gt;"-"</formula>
    </cfRule>
  </conditionalFormatting>
  <conditionalFormatting sqref="D39">
    <cfRule type="expression" priority="732" dxfId="1">
      <formula>$H39&lt;&gt;"-"</formula>
    </cfRule>
  </conditionalFormatting>
  <conditionalFormatting sqref="E39">
    <cfRule type="expression" priority="731" dxfId="0">
      <formula>$I39&lt;&gt;"-"</formula>
    </cfRule>
  </conditionalFormatting>
  <conditionalFormatting sqref="B38">
    <cfRule type="expression" priority="728" dxfId="11">
      <formula>AD38&lt;&gt;""</formula>
    </cfRule>
  </conditionalFormatting>
  <conditionalFormatting sqref="Z38">
    <cfRule type="cellIs" priority="726" operator="greaterThan" dxfId="10">
      <formula>0</formula>
    </cfRule>
    <cfRule type="cellIs" priority="727" operator="lessThan" dxfId="9">
      <formula>0</formula>
    </cfRule>
  </conditionalFormatting>
  <conditionalFormatting sqref="S38">
    <cfRule type="cellIs" priority="725" operator="lessThan" dxfId="8">
      <formula>0</formula>
    </cfRule>
  </conditionalFormatting>
  <conditionalFormatting sqref="P38">
    <cfRule type="cellIs" priority="723" operator="equal" dxfId="7">
      <formula>AS_DURATION_EFFORT</formula>
    </cfRule>
    <cfRule type="cellIs" priority="724" operator="equal" dxfId="6">
      <formula>AS_DEV_EFFORT</formula>
    </cfRule>
  </conditionalFormatting>
  <conditionalFormatting sqref="L38:M38 P38:AC38">
    <cfRule type="expression" priority="729" dxfId="5">
      <formula>AND($G38="Yes", $S$6="Exclude")</formula>
    </cfRule>
    <cfRule type="expression" priority="730" dxfId="4">
      <formula>$J38="Yes"</formula>
    </cfRule>
  </conditionalFormatting>
  <conditionalFormatting sqref="F38">
    <cfRule type="expression" priority="722" dxfId="3">
      <formula>$K38&lt;&gt;""</formula>
    </cfRule>
  </conditionalFormatting>
  <conditionalFormatting sqref="C38">
    <cfRule type="expression" priority="721" dxfId="2">
      <formula>$G38&lt;&gt;"-"</formula>
    </cfRule>
  </conditionalFormatting>
  <conditionalFormatting sqref="D38">
    <cfRule type="expression" priority="720" dxfId="1">
      <formula>$H38&lt;&gt;"-"</formula>
    </cfRule>
  </conditionalFormatting>
  <conditionalFormatting sqref="E38">
    <cfRule type="expression" priority="719" dxfId="0">
      <formula>$I38&lt;&gt;"-"</formula>
    </cfRule>
  </conditionalFormatting>
  <conditionalFormatting sqref="B37">
    <cfRule type="expression" priority="716" dxfId="11">
      <formula>AD37&lt;&gt;""</formula>
    </cfRule>
  </conditionalFormatting>
  <conditionalFormatting sqref="Z37">
    <cfRule type="cellIs" priority="714" operator="greaterThan" dxfId="10">
      <formula>0</formula>
    </cfRule>
    <cfRule type="cellIs" priority="715" operator="lessThan" dxfId="9">
      <formula>0</formula>
    </cfRule>
  </conditionalFormatting>
  <conditionalFormatting sqref="S37">
    <cfRule type="cellIs" priority="713" operator="lessThan" dxfId="8">
      <formula>0</formula>
    </cfRule>
  </conditionalFormatting>
  <conditionalFormatting sqref="P37">
    <cfRule type="cellIs" priority="711" operator="equal" dxfId="7">
      <formula>AS_DURATION_EFFORT</formula>
    </cfRule>
    <cfRule type="cellIs" priority="712" operator="equal" dxfId="6">
      <formula>AS_DEV_EFFORT</formula>
    </cfRule>
  </conditionalFormatting>
  <conditionalFormatting sqref="L37:M37 P37:AC37">
    <cfRule type="expression" priority="717" dxfId="5">
      <formula>AND($G37="Yes", $S$6="Exclude")</formula>
    </cfRule>
    <cfRule type="expression" priority="718" dxfId="4">
      <formula>$J37="Yes"</formula>
    </cfRule>
  </conditionalFormatting>
  <conditionalFormatting sqref="F37">
    <cfRule type="expression" priority="710" dxfId="3">
      <formula>$K37&lt;&gt;""</formula>
    </cfRule>
  </conditionalFormatting>
  <conditionalFormatting sqref="C37">
    <cfRule type="expression" priority="709" dxfId="2">
      <formula>$G37&lt;&gt;"-"</formula>
    </cfRule>
  </conditionalFormatting>
  <conditionalFormatting sqref="D37">
    <cfRule type="expression" priority="708" dxfId="1">
      <formula>$H37&lt;&gt;"-"</formula>
    </cfRule>
  </conditionalFormatting>
  <conditionalFormatting sqref="E37">
    <cfRule type="expression" priority="707" dxfId="0">
      <formula>$I37&lt;&gt;"-"</formula>
    </cfRule>
  </conditionalFormatting>
  <conditionalFormatting sqref="B36">
    <cfRule type="expression" priority="704" dxfId="11">
      <formula>AD36&lt;&gt;""</formula>
    </cfRule>
  </conditionalFormatting>
  <conditionalFormatting sqref="Z36">
    <cfRule type="cellIs" priority="702" operator="greaterThan" dxfId="10">
      <formula>0</formula>
    </cfRule>
    <cfRule type="cellIs" priority="703" operator="lessThan" dxfId="9">
      <formula>0</formula>
    </cfRule>
  </conditionalFormatting>
  <conditionalFormatting sqref="S36">
    <cfRule type="cellIs" priority="701" operator="lessThan" dxfId="8">
      <formula>0</formula>
    </cfRule>
  </conditionalFormatting>
  <conditionalFormatting sqref="P36">
    <cfRule type="cellIs" priority="699" operator="equal" dxfId="7">
      <formula>AS_DURATION_EFFORT</formula>
    </cfRule>
    <cfRule type="cellIs" priority="700" operator="equal" dxfId="6">
      <formula>AS_DEV_EFFORT</formula>
    </cfRule>
  </conditionalFormatting>
  <conditionalFormatting sqref="L36:M36 P36:AC36">
    <cfRule type="expression" priority="705" dxfId="5">
      <formula>AND($G36="Yes", $S$6="Exclude")</formula>
    </cfRule>
    <cfRule type="expression" priority="706" dxfId="4">
      <formula>$J36="Yes"</formula>
    </cfRule>
  </conditionalFormatting>
  <conditionalFormatting sqref="F36">
    <cfRule type="expression" priority="698" dxfId="3">
      <formula>$K36&lt;&gt;""</formula>
    </cfRule>
  </conditionalFormatting>
  <conditionalFormatting sqref="C36">
    <cfRule type="expression" priority="697" dxfId="2">
      <formula>$G36&lt;&gt;"-"</formula>
    </cfRule>
  </conditionalFormatting>
  <conditionalFormatting sqref="D36">
    <cfRule type="expression" priority="696" dxfId="1">
      <formula>$H36&lt;&gt;"-"</formula>
    </cfRule>
  </conditionalFormatting>
  <conditionalFormatting sqref="E36">
    <cfRule type="expression" priority="695" dxfId="0">
      <formula>$I36&lt;&gt;"-"</formula>
    </cfRule>
  </conditionalFormatting>
  <conditionalFormatting sqref="N35">
    <cfRule type="expression" priority="693" dxfId="5">
      <formula>AND($G35="Yes", $S$6="Exclude")</formula>
    </cfRule>
    <cfRule type="expression" priority="694" dxfId="4">
      <formula>$J35="Yes"</formula>
    </cfRule>
  </conditionalFormatting>
  <conditionalFormatting sqref="N38">
    <cfRule type="expression" priority="691" dxfId="5">
      <formula>AND($G38="Yes", $S$6="Exclude")</formula>
    </cfRule>
    <cfRule type="expression" priority="692" dxfId="4">
      <formula>$J38="Yes"</formula>
    </cfRule>
  </conditionalFormatting>
  <conditionalFormatting sqref="N37">
    <cfRule type="expression" priority="689" dxfId="5">
      <formula>AND($G37="Yes", $S$6="Exclude")</formula>
    </cfRule>
    <cfRule type="expression" priority="690" dxfId="4">
      <formula>$J37="Yes"</formula>
    </cfRule>
  </conditionalFormatting>
  <conditionalFormatting sqref="N36">
    <cfRule type="expression" priority="687" dxfId="5">
      <formula>AND($G36="Yes", $S$6="Exclude")</formula>
    </cfRule>
    <cfRule type="expression" priority="688" dxfId="4">
      <formula>$J36="Yes"</formula>
    </cfRule>
  </conditionalFormatting>
  <conditionalFormatting sqref="N39">
    <cfRule type="expression" priority="685" dxfId="5">
      <formula>AND($G39="Yes", $S$6="Exclude")</formula>
    </cfRule>
    <cfRule type="expression" priority="686" dxfId="4">
      <formula>$J39="Yes"</formula>
    </cfRule>
  </conditionalFormatting>
  <conditionalFormatting sqref="O36">
    <cfRule type="expression" priority="683" dxfId="5">
      <formula>AND($G36="Yes", $S$6="Exclude")</formula>
    </cfRule>
    <cfRule type="expression" priority="684" dxfId="4">
      <formula>$J36="Yes"</formula>
    </cfRule>
  </conditionalFormatting>
  <conditionalFormatting sqref="O37">
    <cfRule type="expression" priority="681" dxfId="5">
      <formula>AND($G37="Yes", $S$6="Exclude")</formula>
    </cfRule>
    <cfRule type="expression" priority="682" dxfId="4">
      <formula>$J37="Yes"</formula>
    </cfRule>
  </conditionalFormatting>
  <conditionalFormatting sqref="O38">
    <cfRule type="expression" priority="679" dxfId="5">
      <formula>AND($G38="Yes", $S$6="Exclude")</formula>
    </cfRule>
    <cfRule type="expression" priority="680" dxfId="4">
      <formula>$J38="Yes"</formula>
    </cfRule>
  </conditionalFormatting>
  <conditionalFormatting sqref="B45">
    <cfRule type="expression" priority="676" dxfId="11">
      <formula>AD45&lt;&gt;""</formula>
    </cfRule>
  </conditionalFormatting>
  <conditionalFormatting sqref="Z45">
    <cfRule type="cellIs" priority="674" operator="greaterThan" dxfId="10">
      <formula>0</formula>
    </cfRule>
    <cfRule type="cellIs" priority="675" operator="lessThan" dxfId="9">
      <formula>0</formula>
    </cfRule>
  </conditionalFormatting>
  <conditionalFormatting sqref="S45">
    <cfRule type="cellIs" priority="673" operator="lessThan" dxfId="8">
      <formula>0</formula>
    </cfRule>
  </conditionalFormatting>
  <conditionalFormatting sqref="P45">
    <cfRule type="cellIs" priority="671" operator="equal" dxfId="7">
      <formula>AS_DURATION_EFFORT</formula>
    </cfRule>
    <cfRule type="cellIs" priority="672" operator="equal" dxfId="6">
      <formula>AS_DEV_EFFORT</formula>
    </cfRule>
  </conditionalFormatting>
  <conditionalFormatting sqref="L45:M45 P45:AC45">
    <cfRule type="expression" priority="677" dxfId="5">
      <formula>AND($G45="Yes", $S$6="Exclude")</formula>
    </cfRule>
    <cfRule type="expression" priority="678" dxfId="4">
      <formula>$J45="Yes"</formula>
    </cfRule>
  </conditionalFormatting>
  <conditionalFormatting sqref="F45">
    <cfRule type="expression" priority="670" dxfId="3">
      <formula>$K45&lt;&gt;""</formula>
    </cfRule>
  </conditionalFormatting>
  <conditionalFormatting sqref="C45">
    <cfRule type="expression" priority="669" dxfId="2">
      <formula>$G45&lt;&gt;"-"</formula>
    </cfRule>
  </conditionalFormatting>
  <conditionalFormatting sqref="D45">
    <cfRule type="expression" priority="668" dxfId="1">
      <formula>$H45&lt;&gt;"-"</formula>
    </cfRule>
  </conditionalFormatting>
  <conditionalFormatting sqref="E45">
    <cfRule type="expression" priority="667" dxfId="0">
      <formula>$I45&lt;&gt;"-"</formula>
    </cfRule>
  </conditionalFormatting>
  <conditionalFormatting sqref="B44">
    <cfRule type="expression" priority="664" dxfId="11">
      <formula>AD44&lt;&gt;""</formula>
    </cfRule>
  </conditionalFormatting>
  <conditionalFormatting sqref="Z44">
    <cfRule type="cellIs" priority="662" operator="greaterThan" dxfId="10">
      <formula>0</formula>
    </cfRule>
    <cfRule type="cellIs" priority="663" operator="lessThan" dxfId="9">
      <formula>0</formula>
    </cfRule>
  </conditionalFormatting>
  <conditionalFormatting sqref="S44">
    <cfRule type="cellIs" priority="661" operator="lessThan" dxfId="8">
      <formula>0</formula>
    </cfRule>
  </conditionalFormatting>
  <conditionalFormatting sqref="P44">
    <cfRule type="cellIs" priority="659" operator="equal" dxfId="7">
      <formula>AS_DURATION_EFFORT</formula>
    </cfRule>
    <cfRule type="cellIs" priority="660" operator="equal" dxfId="6">
      <formula>AS_DEV_EFFORT</formula>
    </cfRule>
  </conditionalFormatting>
  <conditionalFormatting sqref="L44:M44 P44:AC44">
    <cfRule type="expression" priority="665" dxfId="5">
      <formula>AND($G44="Yes", $S$6="Exclude")</formula>
    </cfRule>
    <cfRule type="expression" priority="666" dxfId="4">
      <formula>$J44="Yes"</formula>
    </cfRule>
  </conditionalFormatting>
  <conditionalFormatting sqref="F44">
    <cfRule type="expression" priority="658" dxfId="3">
      <formula>$K44&lt;&gt;""</formula>
    </cfRule>
  </conditionalFormatting>
  <conditionalFormatting sqref="C44">
    <cfRule type="expression" priority="657" dxfId="2">
      <formula>$G44&lt;&gt;"-"</formula>
    </cfRule>
  </conditionalFormatting>
  <conditionalFormatting sqref="D44">
    <cfRule type="expression" priority="656" dxfId="1">
      <formula>$H44&lt;&gt;"-"</formula>
    </cfRule>
  </conditionalFormatting>
  <conditionalFormatting sqref="E44">
    <cfRule type="expression" priority="655" dxfId="0">
      <formula>$I44&lt;&gt;"-"</formula>
    </cfRule>
  </conditionalFormatting>
  <conditionalFormatting sqref="N43:O45">
    <cfRule type="expression" priority="653" dxfId="5">
      <formula>AND($G43="Yes", $S$6="Exclude")</formula>
    </cfRule>
    <cfRule type="expression" priority="654" dxfId="4">
      <formula>$J43="Yes"</formula>
    </cfRule>
  </conditionalFormatting>
  <conditionalFormatting sqref="B54">
    <cfRule type="expression" priority="648" dxfId="11">
      <formula>AD54&lt;&gt;""</formula>
    </cfRule>
  </conditionalFormatting>
  <conditionalFormatting sqref="Z54">
    <cfRule type="cellIs" priority="646" operator="greaterThan" dxfId="10">
      <formula>0</formula>
    </cfRule>
    <cfRule type="cellIs" priority="647" operator="lessThan" dxfId="9">
      <formula>0</formula>
    </cfRule>
  </conditionalFormatting>
  <conditionalFormatting sqref="S54">
    <cfRule type="cellIs" priority="645" operator="lessThan" dxfId="8">
      <formula>0</formula>
    </cfRule>
  </conditionalFormatting>
  <conditionalFormatting sqref="P54">
    <cfRule type="cellIs" priority="643" operator="equal" dxfId="7">
      <formula>AS_DURATION_EFFORT</formula>
    </cfRule>
    <cfRule type="cellIs" priority="644" operator="equal" dxfId="6">
      <formula>AS_DEV_EFFORT</formula>
    </cfRule>
  </conditionalFormatting>
  <conditionalFormatting sqref="L54:M54 O54:AC54">
    <cfRule type="expression" priority="649" dxfId="5">
      <formula>AND($G54="Yes", $S$6="Exclude")</formula>
    </cfRule>
    <cfRule type="expression" priority="650" dxfId="4">
      <formula>$J54="Yes"</formula>
    </cfRule>
  </conditionalFormatting>
  <conditionalFormatting sqref="F54">
    <cfRule type="expression" priority="642" dxfId="3">
      <formula>$K54&lt;&gt;""</formula>
    </cfRule>
  </conditionalFormatting>
  <conditionalFormatting sqref="C54">
    <cfRule type="expression" priority="641" dxfId="2">
      <formula>$G54&lt;&gt;"-"</formula>
    </cfRule>
  </conditionalFormatting>
  <conditionalFormatting sqref="D54">
    <cfRule type="expression" priority="640" dxfId="1">
      <formula>$H54&lt;&gt;"-"</formula>
    </cfRule>
  </conditionalFormatting>
  <conditionalFormatting sqref="E54">
    <cfRule type="expression" priority="639" dxfId="0">
      <formula>$I54&lt;&gt;"-"</formula>
    </cfRule>
  </conditionalFormatting>
  <conditionalFormatting sqref="B53">
    <cfRule type="expression" priority="636" dxfId="11">
      <formula>AD53&lt;&gt;""</formula>
    </cfRule>
  </conditionalFormatting>
  <conditionalFormatting sqref="Z53">
    <cfRule type="cellIs" priority="634" operator="greaterThan" dxfId="10">
      <formula>0</formula>
    </cfRule>
    <cfRule type="cellIs" priority="635" operator="lessThan" dxfId="9">
      <formula>0</formula>
    </cfRule>
  </conditionalFormatting>
  <conditionalFormatting sqref="S53">
    <cfRule type="cellIs" priority="633" operator="lessThan" dxfId="8">
      <formula>0</formula>
    </cfRule>
  </conditionalFormatting>
  <conditionalFormatting sqref="P53">
    <cfRule type="cellIs" priority="631" operator="equal" dxfId="7">
      <formula>AS_DURATION_EFFORT</formula>
    </cfRule>
    <cfRule type="cellIs" priority="632" operator="equal" dxfId="6">
      <formula>AS_DEV_EFFORT</formula>
    </cfRule>
  </conditionalFormatting>
  <conditionalFormatting sqref="L53:M53 O53:AC53">
    <cfRule type="expression" priority="637" dxfId="5">
      <formula>AND($G53="Yes", $S$6="Exclude")</formula>
    </cfRule>
    <cfRule type="expression" priority="638" dxfId="4">
      <formula>$J53="Yes"</formula>
    </cfRule>
  </conditionalFormatting>
  <conditionalFormatting sqref="F53">
    <cfRule type="expression" priority="630" dxfId="3">
      <formula>$K53&lt;&gt;""</formula>
    </cfRule>
  </conditionalFormatting>
  <conditionalFormatting sqref="C53">
    <cfRule type="expression" priority="629" dxfId="2">
      <formula>$G53&lt;&gt;"-"</formula>
    </cfRule>
  </conditionalFormatting>
  <conditionalFormatting sqref="D53">
    <cfRule type="expression" priority="628" dxfId="1">
      <formula>$H53&lt;&gt;"-"</formula>
    </cfRule>
  </conditionalFormatting>
  <conditionalFormatting sqref="E53">
    <cfRule type="expression" priority="627" dxfId="0">
      <formula>$I53&lt;&gt;"-"</formula>
    </cfRule>
  </conditionalFormatting>
  <conditionalFormatting sqref="B52">
    <cfRule type="expression" priority="624" dxfId="11">
      <formula>AD52&lt;&gt;""</formula>
    </cfRule>
  </conditionalFormatting>
  <conditionalFormatting sqref="Z52">
    <cfRule type="cellIs" priority="622" operator="greaterThan" dxfId="10">
      <formula>0</formula>
    </cfRule>
    <cfRule type="cellIs" priority="623" operator="lessThan" dxfId="9">
      <formula>0</formula>
    </cfRule>
  </conditionalFormatting>
  <conditionalFormatting sqref="S52">
    <cfRule type="cellIs" priority="621" operator="lessThan" dxfId="8">
      <formula>0</formula>
    </cfRule>
  </conditionalFormatting>
  <conditionalFormatting sqref="P52">
    <cfRule type="cellIs" priority="619" operator="equal" dxfId="7">
      <formula>AS_DURATION_EFFORT</formula>
    </cfRule>
    <cfRule type="cellIs" priority="620" operator="equal" dxfId="6">
      <formula>AS_DEV_EFFORT</formula>
    </cfRule>
  </conditionalFormatting>
  <conditionalFormatting sqref="L52:M52 O52:AC52">
    <cfRule type="expression" priority="625" dxfId="5">
      <formula>AND($G52="Yes", $S$6="Exclude")</formula>
    </cfRule>
    <cfRule type="expression" priority="626" dxfId="4">
      <formula>$J52="Yes"</formula>
    </cfRule>
  </conditionalFormatting>
  <conditionalFormatting sqref="F52">
    <cfRule type="expression" priority="618" dxfId="3">
      <formula>$K52&lt;&gt;""</formula>
    </cfRule>
  </conditionalFormatting>
  <conditionalFormatting sqref="C52">
    <cfRule type="expression" priority="617" dxfId="2">
      <formula>$G52&lt;&gt;"-"</formula>
    </cfRule>
  </conditionalFormatting>
  <conditionalFormatting sqref="D52">
    <cfRule type="expression" priority="616" dxfId="1">
      <formula>$H52&lt;&gt;"-"</formula>
    </cfRule>
  </conditionalFormatting>
  <conditionalFormatting sqref="E52">
    <cfRule type="expression" priority="615" dxfId="0">
      <formula>$I52&lt;&gt;"-"</formula>
    </cfRule>
  </conditionalFormatting>
  <conditionalFormatting sqref="B51">
    <cfRule type="expression" priority="612" dxfId="11">
      <formula>AD51&lt;&gt;""</formula>
    </cfRule>
  </conditionalFormatting>
  <conditionalFormatting sqref="Z51">
    <cfRule type="cellIs" priority="610" operator="greaterThan" dxfId="10">
      <formula>0</formula>
    </cfRule>
    <cfRule type="cellIs" priority="611" operator="lessThan" dxfId="9">
      <formula>0</formula>
    </cfRule>
  </conditionalFormatting>
  <conditionalFormatting sqref="S51">
    <cfRule type="cellIs" priority="609" operator="lessThan" dxfId="8">
      <formula>0</formula>
    </cfRule>
  </conditionalFormatting>
  <conditionalFormatting sqref="P51">
    <cfRule type="cellIs" priority="607" operator="equal" dxfId="7">
      <formula>AS_DURATION_EFFORT</formula>
    </cfRule>
    <cfRule type="cellIs" priority="608" operator="equal" dxfId="6">
      <formula>AS_DEV_EFFORT</formula>
    </cfRule>
  </conditionalFormatting>
  <conditionalFormatting sqref="L51:M51 O51:AC51">
    <cfRule type="expression" priority="613" dxfId="5">
      <formula>AND($G51="Yes", $S$6="Exclude")</formula>
    </cfRule>
    <cfRule type="expression" priority="614" dxfId="4">
      <formula>$J51="Yes"</formula>
    </cfRule>
  </conditionalFormatting>
  <conditionalFormatting sqref="F51">
    <cfRule type="expression" priority="606" dxfId="3">
      <formula>$K51&lt;&gt;""</formula>
    </cfRule>
  </conditionalFormatting>
  <conditionalFormatting sqref="C51">
    <cfRule type="expression" priority="605" dxfId="2">
      <formula>$G51&lt;&gt;"-"</formula>
    </cfRule>
  </conditionalFormatting>
  <conditionalFormatting sqref="D51">
    <cfRule type="expression" priority="604" dxfId="1">
      <formula>$H51&lt;&gt;"-"</formula>
    </cfRule>
  </conditionalFormatting>
  <conditionalFormatting sqref="E51">
    <cfRule type="expression" priority="603" dxfId="0">
      <formula>$I51&lt;&gt;"-"</formula>
    </cfRule>
  </conditionalFormatting>
  <conditionalFormatting sqref="B50">
    <cfRule type="expression" priority="600" dxfId="11">
      <formula>AD50&lt;&gt;""</formula>
    </cfRule>
  </conditionalFormatting>
  <conditionalFormatting sqref="Z50">
    <cfRule type="cellIs" priority="598" operator="greaterThan" dxfId="10">
      <formula>0</formula>
    </cfRule>
    <cfRule type="cellIs" priority="599" operator="lessThan" dxfId="9">
      <formula>0</formula>
    </cfRule>
  </conditionalFormatting>
  <conditionalFormatting sqref="S50">
    <cfRule type="cellIs" priority="597" operator="lessThan" dxfId="8">
      <formula>0</formula>
    </cfRule>
  </conditionalFormatting>
  <conditionalFormatting sqref="P50">
    <cfRule type="cellIs" priority="595" operator="equal" dxfId="7">
      <formula>AS_DURATION_EFFORT</formula>
    </cfRule>
    <cfRule type="cellIs" priority="596" operator="equal" dxfId="6">
      <formula>AS_DEV_EFFORT</formula>
    </cfRule>
  </conditionalFormatting>
  <conditionalFormatting sqref="L50:M50 O50:AC50">
    <cfRule type="expression" priority="601" dxfId="5">
      <formula>AND($G50="Yes", $S$6="Exclude")</formula>
    </cfRule>
    <cfRule type="expression" priority="602" dxfId="4">
      <formula>$J50="Yes"</formula>
    </cfRule>
  </conditionalFormatting>
  <conditionalFormatting sqref="F50">
    <cfRule type="expression" priority="594" dxfId="3">
      <formula>$K50&lt;&gt;""</formula>
    </cfRule>
  </conditionalFormatting>
  <conditionalFormatting sqref="C50">
    <cfRule type="expression" priority="593" dxfId="2">
      <formula>$G50&lt;&gt;"-"</formula>
    </cfRule>
  </conditionalFormatting>
  <conditionalFormatting sqref="D50">
    <cfRule type="expression" priority="592" dxfId="1">
      <formula>$H50&lt;&gt;"-"</formula>
    </cfRule>
  </conditionalFormatting>
  <conditionalFormatting sqref="E50">
    <cfRule type="expression" priority="591" dxfId="0">
      <formula>$I50&lt;&gt;"-"</formula>
    </cfRule>
  </conditionalFormatting>
  <conditionalFormatting sqref="N49:N54">
    <cfRule type="expression" priority="589" dxfId="5">
      <formula>AND($G49="Yes", $S$6="Exclude")</formula>
    </cfRule>
    <cfRule type="expression" priority="590" dxfId="4">
      <formula>$J49="Yes"</formula>
    </cfRule>
  </conditionalFormatting>
  <conditionalFormatting sqref="B62">
    <cfRule type="expression" priority="586" dxfId="11">
      <formula>AD62&lt;&gt;""</formula>
    </cfRule>
  </conditionalFormatting>
  <conditionalFormatting sqref="Z62">
    <cfRule type="cellIs" priority="584" operator="greaterThan" dxfId="10">
      <formula>0</formula>
    </cfRule>
    <cfRule type="cellIs" priority="585" operator="lessThan" dxfId="9">
      <formula>0</formula>
    </cfRule>
  </conditionalFormatting>
  <conditionalFormatting sqref="S62">
    <cfRule type="cellIs" priority="583" operator="lessThan" dxfId="8">
      <formula>0</formula>
    </cfRule>
  </conditionalFormatting>
  <conditionalFormatting sqref="P62">
    <cfRule type="cellIs" priority="581" operator="equal" dxfId="7">
      <formula>AS_DURATION_EFFORT</formula>
    </cfRule>
    <cfRule type="cellIs" priority="582" operator="equal" dxfId="6">
      <formula>AS_DEV_EFFORT</formula>
    </cfRule>
  </conditionalFormatting>
  <conditionalFormatting sqref="L62:M62 P62:AC62">
    <cfRule type="expression" priority="587" dxfId="5">
      <formula>AND($G62="Yes", $S$6="Exclude")</formula>
    </cfRule>
    <cfRule type="expression" priority="588" dxfId="4">
      <formula>$J62="Yes"</formula>
    </cfRule>
  </conditionalFormatting>
  <conditionalFormatting sqref="F62">
    <cfRule type="expression" priority="580" dxfId="3">
      <formula>$K62&lt;&gt;""</formula>
    </cfRule>
  </conditionalFormatting>
  <conditionalFormatting sqref="C62">
    <cfRule type="expression" priority="579" dxfId="2">
      <formula>$G62&lt;&gt;"-"</formula>
    </cfRule>
  </conditionalFormatting>
  <conditionalFormatting sqref="D62">
    <cfRule type="expression" priority="578" dxfId="1">
      <formula>$H62&lt;&gt;"-"</formula>
    </cfRule>
  </conditionalFormatting>
  <conditionalFormatting sqref="E62">
    <cfRule type="expression" priority="577" dxfId="0">
      <formula>$I62&lt;&gt;"-"</formula>
    </cfRule>
  </conditionalFormatting>
  <conditionalFormatting sqref="B61">
    <cfRule type="expression" priority="574" dxfId="11">
      <formula>AD61&lt;&gt;""</formula>
    </cfRule>
  </conditionalFormatting>
  <conditionalFormatting sqref="Z61">
    <cfRule type="cellIs" priority="572" operator="greaterThan" dxfId="10">
      <formula>0</formula>
    </cfRule>
    <cfRule type="cellIs" priority="573" operator="lessThan" dxfId="9">
      <formula>0</formula>
    </cfRule>
  </conditionalFormatting>
  <conditionalFormatting sqref="S61">
    <cfRule type="cellIs" priority="571" operator="lessThan" dxfId="8">
      <formula>0</formula>
    </cfRule>
  </conditionalFormatting>
  <conditionalFormatting sqref="P61">
    <cfRule type="cellIs" priority="569" operator="equal" dxfId="7">
      <formula>AS_DURATION_EFFORT</formula>
    </cfRule>
    <cfRule type="cellIs" priority="570" operator="equal" dxfId="6">
      <formula>AS_DEV_EFFORT</formula>
    </cfRule>
  </conditionalFormatting>
  <conditionalFormatting sqref="L61:M61 P61:AC61">
    <cfRule type="expression" priority="575" dxfId="5">
      <formula>AND($G61="Yes", $S$6="Exclude")</formula>
    </cfRule>
    <cfRule type="expression" priority="576" dxfId="4">
      <formula>$J61="Yes"</formula>
    </cfRule>
  </conditionalFormatting>
  <conditionalFormatting sqref="F61">
    <cfRule type="expression" priority="568" dxfId="3">
      <formula>$K61&lt;&gt;""</formula>
    </cfRule>
  </conditionalFormatting>
  <conditionalFormatting sqref="C61">
    <cfRule type="expression" priority="567" dxfId="2">
      <formula>$G61&lt;&gt;"-"</formula>
    </cfRule>
  </conditionalFormatting>
  <conditionalFormatting sqref="D61">
    <cfRule type="expression" priority="566" dxfId="1">
      <formula>$H61&lt;&gt;"-"</formula>
    </cfRule>
  </conditionalFormatting>
  <conditionalFormatting sqref="E61">
    <cfRule type="expression" priority="565" dxfId="0">
      <formula>$I61&lt;&gt;"-"</formula>
    </cfRule>
  </conditionalFormatting>
  <conditionalFormatting sqref="B60">
    <cfRule type="expression" priority="562" dxfId="11">
      <formula>AD60&lt;&gt;""</formula>
    </cfRule>
  </conditionalFormatting>
  <conditionalFormatting sqref="Z60">
    <cfRule type="cellIs" priority="560" operator="greaterThan" dxfId="10">
      <formula>0</formula>
    </cfRule>
    <cfRule type="cellIs" priority="561" operator="lessThan" dxfId="9">
      <formula>0</formula>
    </cfRule>
  </conditionalFormatting>
  <conditionalFormatting sqref="S60">
    <cfRule type="cellIs" priority="559" operator="lessThan" dxfId="8">
      <formula>0</formula>
    </cfRule>
  </conditionalFormatting>
  <conditionalFormatting sqref="P60">
    <cfRule type="cellIs" priority="557" operator="equal" dxfId="7">
      <formula>AS_DURATION_EFFORT</formula>
    </cfRule>
    <cfRule type="cellIs" priority="558" operator="equal" dxfId="6">
      <formula>AS_DEV_EFFORT</formula>
    </cfRule>
  </conditionalFormatting>
  <conditionalFormatting sqref="L60:M60 P60:AC60">
    <cfRule type="expression" priority="563" dxfId="5">
      <formula>AND($G60="Yes", $S$6="Exclude")</formula>
    </cfRule>
    <cfRule type="expression" priority="564" dxfId="4">
      <formula>$J60="Yes"</formula>
    </cfRule>
  </conditionalFormatting>
  <conditionalFormatting sqref="F60">
    <cfRule type="expression" priority="556" dxfId="3">
      <formula>$K60&lt;&gt;""</formula>
    </cfRule>
  </conditionalFormatting>
  <conditionalFormatting sqref="C60">
    <cfRule type="expression" priority="555" dxfId="2">
      <formula>$G60&lt;&gt;"-"</formula>
    </cfRule>
  </conditionalFormatting>
  <conditionalFormatting sqref="D60">
    <cfRule type="expression" priority="554" dxfId="1">
      <formula>$H60&lt;&gt;"-"</formula>
    </cfRule>
  </conditionalFormatting>
  <conditionalFormatting sqref="E60">
    <cfRule type="expression" priority="553" dxfId="0">
      <formula>$I60&lt;&gt;"-"</formula>
    </cfRule>
  </conditionalFormatting>
  <conditionalFormatting sqref="B59">
    <cfRule type="expression" priority="550" dxfId="11">
      <formula>AD59&lt;&gt;""</formula>
    </cfRule>
  </conditionalFormatting>
  <conditionalFormatting sqref="Z59">
    <cfRule type="cellIs" priority="548" operator="greaterThan" dxfId="10">
      <formula>0</formula>
    </cfRule>
    <cfRule type="cellIs" priority="549" operator="lessThan" dxfId="9">
      <formula>0</formula>
    </cfRule>
  </conditionalFormatting>
  <conditionalFormatting sqref="S59">
    <cfRule type="cellIs" priority="547" operator="lessThan" dxfId="8">
      <formula>0</formula>
    </cfRule>
  </conditionalFormatting>
  <conditionalFormatting sqref="P59">
    <cfRule type="cellIs" priority="545" operator="equal" dxfId="7">
      <formula>AS_DURATION_EFFORT</formula>
    </cfRule>
    <cfRule type="cellIs" priority="546" operator="equal" dxfId="6">
      <formula>AS_DEV_EFFORT</formula>
    </cfRule>
  </conditionalFormatting>
  <conditionalFormatting sqref="L59:M59 P59:AC59">
    <cfRule type="expression" priority="551" dxfId="5">
      <formula>AND($G59="Yes", $S$6="Exclude")</formula>
    </cfRule>
    <cfRule type="expression" priority="552" dxfId="4">
      <formula>$J59="Yes"</formula>
    </cfRule>
  </conditionalFormatting>
  <conditionalFormatting sqref="F59">
    <cfRule type="expression" priority="544" dxfId="3">
      <formula>$K59&lt;&gt;""</formula>
    </cfRule>
  </conditionalFormatting>
  <conditionalFormatting sqref="C59">
    <cfRule type="expression" priority="543" dxfId="2">
      <formula>$G59&lt;&gt;"-"</formula>
    </cfRule>
  </conditionalFormatting>
  <conditionalFormatting sqref="D59">
    <cfRule type="expression" priority="542" dxfId="1">
      <formula>$H59&lt;&gt;"-"</formula>
    </cfRule>
  </conditionalFormatting>
  <conditionalFormatting sqref="E59">
    <cfRule type="expression" priority="541" dxfId="0">
      <formula>$I59&lt;&gt;"-"</formula>
    </cfRule>
  </conditionalFormatting>
  <conditionalFormatting sqref="N58:N62">
    <cfRule type="expression" priority="539" dxfId="5">
      <formula>AND($G58="Yes", $S$6="Exclude")</formula>
    </cfRule>
    <cfRule type="expression" priority="540" dxfId="4">
      <formula>$J58="Yes"</formula>
    </cfRule>
  </conditionalFormatting>
  <conditionalFormatting sqref="O58:O62">
    <cfRule type="expression" priority="537" dxfId="5">
      <formula>AND($G58="Yes", $S$6="Exclude")</formula>
    </cfRule>
    <cfRule type="expression" priority="538" dxfId="4">
      <formula>$J58="Yes"</formula>
    </cfRule>
  </conditionalFormatting>
  <conditionalFormatting sqref="B131">
    <cfRule type="expression" priority="533" dxfId="11">
      <formula>AD131&lt;&gt;""</formula>
    </cfRule>
  </conditionalFormatting>
  <conditionalFormatting sqref="Z131">
    <cfRule type="cellIs" priority="531" operator="greaterThan" dxfId="10">
      <formula>0</formula>
    </cfRule>
    <cfRule type="cellIs" priority="532" operator="lessThan" dxfId="9">
      <formula>0</formula>
    </cfRule>
  </conditionalFormatting>
  <conditionalFormatting sqref="S131">
    <cfRule type="cellIs" priority="530" operator="lessThan" dxfId="8">
      <formula>0</formula>
    </cfRule>
  </conditionalFormatting>
  <conditionalFormatting sqref="T129:T130">
    <cfRule type="expression" priority="534" dxfId="4">
      <formula>#REF!="Yes"</formula>
    </cfRule>
  </conditionalFormatting>
  <conditionalFormatting sqref="P131">
    <cfRule type="cellIs" priority="528" operator="equal" dxfId="7">
      <formula>AS_DURATION_EFFORT</formula>
    </cfRule>
    <cfRule type="cellIs" priority="529" operator="equal" dxfId="6">
      <formula>AS_DEV_EFFORT</formula>
    </cfRule>
  </conditionalFormatting>
  <conditionalFormatting sqref="B129:B130">
    <cfRule type="expression" priority="527" dxfId="11">
      <formula>AD129&lt;&gt;""</formula>
    </cfRule>
  </conditionalFormatting>
  <conditionalFormatting sqref="F131">
    <cfRule type="expression" priority="526" dxfId="3">
      <formula>$K131&lt;&gt;""</formula>
    </cfRule>
  </conditionalFormatting>
  <conditionalFormatting sqref="C131">
    <cfRule type="expression" priority="525" dxfId="2">
      <formula>$G131&lt;&gt;"-"</formula>
    </cfRule>
  </conditionalFormatting>
  <conditionalFormatting sqref="D131">
    <cfRule type="expression" priority="524" dxfId="1">
      <formula>$H131&lt;&gt;"-"</formula>
    </cfRule>
  </conditionalFormatting>
  <conditionalFormatting sqref="E131">
    <cfRule type="expression" priority="523" dxfId="0">
      <formula>$I131&lt;&gt;"-"</formula>
    </cfRule>
  </conditionalFormatting>
  <conditionalFormatting sqref="S128">
    <cfRule type="expression" priority="522" dxfId="4">
      <formula>#REF!="Yes"</formula>
    </cfRule>
  </conditionalFormatting>
  <conditionalFormatting sqref="B128">
    <cfRule type="expression" priority="521" dxfId="11">
      <formula>AD128&lt;&gt;""</formula>
    </cfRule>
  </conditionalFormatting>
  <conditionalFormatting sqref="B132">
    <cfRule type="expression" priority="518" dxfId="11">
      <formula>AD132&lt;&gt;""</formula>
    </cfRule>
  </conditionalFormatting>
  <conditionalFormatting sqref="Z132">
    <cfRule type="cellIs" priority="516" operator="greaterThan" dxfId="10">
      <formula>0</formula>
    </cfRule>
    <cfRule type="cellIs" priority="517" operator="lessThan" dxfId="9">
      <formula>0</formula>
    </cfRule>
  </conditionalFormatting>
  <conditionalFormatting sqref="S132">
    <cfRule type="cellIs" priority="515" operator="lessThan" dxfId="8">
      <formula>0</formula>
    </cfRule>
  </conditionalFormatting>
  <conditionalFormatting sqref="P132">
    <cfRule type="cellIs" priority="513" operator="equal" dxfId="7">
      <formula>AS_DURATION_EFFORT</formula>
    </cfRule>
    <cfRule type="cellIs" priority="514" operator="equal" dxfId="6">
      <formula>AS_DEV_EFFORT</formula>
    </cfRule>
  </conditionalFormatting>
  <conditionalFormatting sqref="F132">
    <cfRule type="expression" priority="512" dxfId="3">
      <formula>$K132&lt;&gt;""</formula>
    </cfRule>
  </conditionalFormatting>
  <conditionalFormatting sqref="C132">
    <cfRule type="expression" priority="511" dxfId="2">
      <formula>$G132&lt;&gt;"-"</formula>
    </cfRule>
  </conditionalFormatting>
  <conditionalFormatting sqref="D132">
    <cfRule type="expression" priority="510" dxfId="1">
      <formula>$H132&lt;&gt;"-"</formula>
    </cfRule>
  </conditionalFormatting>
  <conditionalFormatting sqref="E132">
    <cfRule type="expression" priority="509" dxfId="0">
      <formula>$I132&lt;&gt;"-"</formula>
    </cfRule>
  </conditionalFormatting>
  <conditionalFormatting sqref="L146:AC149">
    <cfRule type="expression" priority="109" dxfId="5">
      <formula>AND($G146="Yes", $S$6="Exclude")</formula>
    </cfRule>
    <cfRule type="expression" priority="110" dxfId="4">
      <formula>$J146="Yes"</formula>
    </cfRule>
  </conditionalFormatting>
  <conditionalFormatting sqref="B146">
    <cfRule type="expression" priority="107" dxfId="11">
      <formula>AD146&lt;&gt;""</formula>
    </cfRule>
  </conditionalFormatting>
  <conditionalFormatting sqref="Z146">
    <cfRule type="cellIs" priority="105" operator="greaterThan" dxfId="10">
      <formula>0</formula>
    </cfRule>
    <cfRule type="cellIs" priority="106" operator="lessThan" dxfId="9">
      <formula>0</formula>
    </cfRule>
  </conditionalFormatting>
  <conditionalFormatting sqref="S146">
    <cfRule type="cellIs" priority="104" operator="lessThan" dxfId="8">
      <formula>0</formula>
    </cfRule>
  </conditionalFormatting>
  <conditionalFormatting sqref="T144:T145">
    <cfRule type="expression" priority="108" dxfId="4">
      <formula>#REF!="Yes"</formula>
    </cfRule>
  </conditionalFormatting>
  <conditionalFormatting sqref="P146">
    <cfRule type="cellIs" priority="102" operator="equal" dxfId="7">
      <formula>AS_DURATION_EFFORT</formula>
    </cfRule>
    <cfRule type="cellIs" priority="103" operator="equal" dxfId="6">
      <formula>AS_DEV_EFFORT</formula>
    </cfRule>
  </conditionalFormatting>
  <conditionalFormatting sqref="B144:B145">
    <cfRule type="expression" priority="101" dxfId="11">
      <formula>AD144&lt;&gt;""</formula>
    </cfRule>
  </conditionalFormatting>
  <conditionalFormatting sqref="F146">
    <cfRule type="expression" priority="100" dxfId="3">
      <formula>$K146&lt;&gt;""</formula>
    </cfRule>
  </conditionalFormatting>
  <conditionalFormatting sqref="C146">
    <cfRule type="expression" priority="99" dxfId="2">
      <formula>$G146&lt;&gt;"-"</formula>
    </cfRule>
  </conditionalFormatting>
  <conditionalFormatting sqref="D146">
    <cfRule type="expression" priority="98" dxfId="1">
      <formula>$H146&lt;&gt;"-"</formula>
    </cfRule>
  </conditionalFormatting>
  <conditionalFormatting sqref="E146">
    <cfRule type="expression" priority="97" dxfId="0">
      <formula>$I146&lt;&gt;"-"</formula>
    </cfRule>
  </conditionalFormatting>
  <conditionalFormatting sqref="B147">
    <cfRule type="expression" priority="96" dxfId="11">
      <formula>AD147&lt;&gt;""</formula>
    </cfRule>
  </conditionalFormatting>
  <conditionalFormatting sqref="Z147">
    <cfRule type="cellIs" priority="94" operator="greaterThan" dxfId="10">
      <formula>0</formula>
    </cfRule>
    <cfRule type="cellIs" priority="95" operator="lessThan" dxfId="9">
      <formula>0</formula>
    </cfRule>
  </conditionalFormatting>
  <conditionalFormatting sqref="S147">
    <cfRule type="cellIs" priority="93" operator="lessThan" dxfId="8">
      <formula>0</formula>
    </cfRule>
  </conditionalFormatting>
  <conditionalFormatting sqref="P147">
    <cfRule type="cellIs" priority="91" operator="equal" dxfId="7">
      <formula>AS_DURATION_EFFORT</formula>
    </cfRule>
    <cfRule type="cellIs" priority="92" operator="equal" dxfId="6">
      <formula>AS_DEV_EFFORT</formula>
    </cfRule>
  </conditionalFormatting>
  <conditionalFormatting sqref="F147">
    <cfRule type="expression" priority="90" dxfId="3">
      <formula>$K147&lt;&gt;""</formula>
    </cfRule>
  </conditionalFormatting>
  <conditionalFormatting sqref="C147">
    <cfRule type="expression" priority="89" dxfId="2">
      <formula>$G147&lt;&gt;"-"</formula>
    </cfRule>
  </conditionalFormatting>
  <conditionalFormatting sqref="D147">
    <cfRule type="expression" priority="88" dxfId="1">
      <formula>$H147&lt;&gt;"-"</formula>
    </cfRule>
  </conditionalFormatting>
  <conditionalFormatting sqref="E147">
    <cfRule type="expression" priority="87" dxfId="0">
      <formula>$I147&lt;&gt;"-"</formula>
    </cfRule>
  </conditionalFormatting>
  <conditionalFormatting sqref="B148">
    <cfRule type="expression" priority="86" dxfId="11">
      <formula>AD148&lt;&gt;""</formula>
    </cfRule>
  </conditionalFormatting>
  <conditionalFormatting sqref="Z148">
    <cfRule type="cellIs" priority="84" operator="greaterThan" dxfId="10">
      <formula>0</formula>
    </cfRule>
    <cfRule type="cellIs" priority="85" operator="lessThan" dxfId="9">
      <formula>0</formula>
    </cfRule>
  </conditionalFormatting>
  <conditionalFormatting sqref="S148">
    <cfRule type="cellIs" priority="83" operator="lessThan" dxfId="8">
      <formula>0</formula>
    </cfRule>
  </conditionalFormatting>
  <conditionalFormatting sqref="P148">
    <cfRule type="cellIs" priority="81" operator="equal" dxfId="7">
      <formula>AS_DURATION_EFFORT</formula>
    </cfRule>
    <cfRule type="cellIs" priority="82" operator="equal" dxfId="6">
      <formula>AS_DEV_EFFORT</formula>
    </cfRule>
  </conditionalFormatting>
  <conditionalFormatting sqref="F148">
    <cfRule type="expression" priority="80" dxfId="3">
      <formula>$K148&lt;&gt;""</formula>
    </cfRule>
  </conditionalFormatting>
  <conditionalFormatting sqref="C148">
    <cfRule type="expression" priority="79" dxfId="2">
      <formula>$G148&lt;&gt;"-"</formula>
    </cfRule>
  </conditionalFormatting>
  <conditionalFormatting sqref="D148">
    <cfRule type="expression" priority="78" dxfId="1">
      <formula>$H148&lt;&gt;"-"</formula>
    </cfRule>
  </conditionalFormatting>
  <conditionalFormatting sqref="E148">
    <cfRule type="expression" priority="77" dxfId="0">
      <formula>$I148&lt;&gt;"-"</formula>
    </cfRule>
  </conditionalFormatting>
  <conditionalFormatting sqref="B149">
    <cfRule type="expression" priority="76" dxfId="11">
      <formula>AD149&lt;&gt;""</formula>
    </cfRule>
  </conditionalFormatting>
  <conditionalFormatting sqref="Z149">
    <cfRule type="cellIs" priority="74" operator="greaterThan" dxfId="10">
      <formula>0</formula>
    </cfRule>
    <cfRule type="cellIs" priority="75" operator="lessThan" dxfId="9">
      <formula>0</formula>
    </cfRule>
  </conditionalFormatting>
  <conditionalFormatting sqref="S149">
    <cfRule type="cellIs" priority="73" operator="lessThan" dxfId="8">
      <formula>0</formula>
    </cfRule>
  </conditionalFormatting>
  <conditionalFormatting sqref="P149">
    <cfRule type="cellIs" priority="71" operator="equal" dxfId="7">
      <formula>AS_DURATION_EFFORT</formula>
    </cfRule>
    <cfRule type="cellIs" priority="72" operator="equal" dxfId="6">
      <formula>AS_DEV_EFFORT</formula>
    </cfRule>
  </conditionalFormatting>
  <conditionalFormatting sqref="F149">
    <cfRule type="expression" priority="70" dxfId="3">
      <formula>$K149&lt;&gt;""</formula>
    </cfRule>
  </conditionalFormatting>
  <conditionalFormatting sqref="C149">
    <cfRule type="expression" priority="69" dxfId="2">
      <formula>$G149&lt;&gt;"-"</formula>
    </cfRule>
  </conditionalFormatting>
  <conditionalFormatting sqref="D149">
    <cfRule type="expression" priority="68" dxfId="1">
      <formula>$H149&lt;&gt;"-"</formula>
    </cfRule>
  </conditionalFormatting>
  <conditionalFormatting sqref="E149">
    <cfRule type="expression" priority="67" dxfId="0">
      <formula>$I149&lt;&gt;"-"</formula>
    </cfRule>
  </conditionalFormatting>
  <conditionalFormatting sqref="B140">
    <cfRule type="expression" priority="63" dxfId="11">
      <formula>AD140&lt;&gt;""</formula>
    </cfRule>
  </conditionalFormatting>
  <conditionalFormatting sqref="Z140">
    <cfRule type="cellIs" priority="61" operator="greaterThan" dxfId="10">
      <formula>0</formula>
    </cfRule>
    <cfRule type="cellIs" priority="62" operator="lessThan" dxfId="9">
      <formula>0</formula>
    </cfRule>
  </conditionalFormatting>
  <conditionalFormatting sqref="S140">
    <cfRule type="cellIs" priority="60" operator="lessThan" dxfId="8">
      <formula>0</formula>
    </cfRule>
  </conditionalFormatting>
  <conditionalFormatting sqref="T138:T139">
    <cfRule type="expression" priority="64" dxfId="4">
      <formula>#REF!="Yes"</formula>
    </cfRule>
  </conditionalFormatting>
  <conditionalFormatting sqref="P140">
    <cfRule type="cellIs" priority="58" operator="equal" dxfId="7">
      <formula>AS_DURATION_EFFORT</formula>
    </cfRule>
    <cfRule type="cellIs" priority="59" operator="equal" dxfId="6">
      <formula>AS_DEV_EFFORT</formula>
    </cfRule>
  </conditionalFormatting>
  <conditionalFormatting sqref="B138:B139">
    <cfRule type="expression" priority="57" dxfId="11">
      <formula>AD138&lt;&gt;""</formula>
    </cfRule>
  </conditionalFormatting>
  <conditionalFormatting sqref="L140:M140 O140:AC140">
    <cfRule type="expression" priority="65" dxfId="5">
      <formula>AND($G140="Yes", $S$6="Exclude")</formula>
    </cfRule>
    <cfRule type="expression" priority="66" dxfId="4">
      <formula>$J140="Yes"</formula>
    </cfRule>
  </conditionalFormatting>
  <conditionalFormatting sqref="F140">
    <cfRule type="expression" priority="56" dxfId="3">
      <formula>$K140&lt;&gt;""</formula>
    </cfRule>
  </conditionalFormatting>
  <conditionalFormatting sqref="C140">
    <cfRule type="expression" priority="55" dxfId="2">
      <formula>$G140&lt;&gt;"-"</formula>
    </cfRule>
  </conditionalFormatting>
  <conditionalFormatting sqref="D140">
    <cfRule type="expression" priority="54" dxfId="1">
      <formula>$H140&lt;&gt;"-"</formula>
    </cfRule>
  </conditionalFormatting>
  <conditionalFormatting sqref="E140">
    <cfRule type="expression" priority="53" dxfId="0">
      <formula>$I140&lt;&gt;"-"</formula>
    </cfRule>
  </conditionalFormatting>
  <conditionalFormatting sqref="S137">
    <cfRule type="expression" priority="52" dxfId="4">
      <formula>#REF!="Yes"</formula>
    </cfRule>
  </conditionalFormatting>
  <conditionalFormatting sqref="B137">
    <cfRule type="expression" priority="51" dxfId="11">
      <formula>AD137&lt;&gt;""</formula>
    </cfRule>
  </conditionalFormatting>
  <conditionalFormatting sqref="B141">
    <cfRule type="expression" priority="48" dxfId="11">
      <formula>AD141&lt;&gt;""</formula>
    </cfRule>
  </conditionalFormatting>
  <conditionalFormatting sqref="Z141">
    <cfRule type="cellIs" priority="46" operator="greaterThan" dxfId="10">
      <formula>0</formula>
    </cfRule>
    <cfRule type="cellIs" priority="47" operator="lessThan" dxfId="9">
      <formula>0</formula>
    </cfRule>
  </conditionalFormatting>
  <conditionalFormatting sqref="S141">
    <cfRule type="cellIs" priority="45" operator="lessThan" dxfId="8">
      <formula>0</formula>
    </cfRule>
  </conditionalFormatting>
  <conditionalFormatting sqref="L141:M141 O141 R141:AC141">
    <cfRule type="expression" priority="49" dxfId="5">
      <formula>AND($G141="Yes", $S$6="Exclude")</formula>
    </cfRule>
    <cfRule type="expression" priority="50" dxfId="4">
      <formula>$J141="Yes"</formula>
    </cfRule>
  </conditionalFormatting>
  <conditionalFormatting sqref="F141">
    <cfRule type="expression" priority="42" dxfId="3">
      <formula>$K141&lt;&gt;""</formula>
    </cfRule>
  </conditionalFormatting>
  <conditionalFormatting sqref="C141">
    <cfRule type="expression" priority="41" dxfId="2">
      <formula>$G141&lt;&gt;"-"</formula>
    </cfRule>
  </conditionalFormatting>
  <conditionalFormatting sqref="D141">
    <cfRule type="expression" priority="40" dxfId="1">
      <formula>$H141&lt;&gt;"-"</formula>
    </cfRule>
  </conditionalFormatting>
  <conditionalFormatting sqref="E141">
    <cfRule type="expression" priority="39" dxfId="0">
      <formula>$I141&lt;&gt;"-"</formula>
    </cfRule>
  </conditionalFormatting>
  <conditionalFormatting sqref="N140:N141">
    <cfRule type="expression" priority="37" dxfId="5">
      <formula>AND($G140="Yes", $S$6="Exclude")</formula>
    </cfRule>
    <cfRule type="expression" priority="38" dxfId="4">
      <formula>$J140="Yes"</formula>
    </cfRule>
  </conditionalFormatting>
  <conditionalFormatting sqref="P141:Q141">
    <cfRule type="expression" priority="35" dxfId="5">
      <formula>AND($G141="Yes", $S$6="Exclude")</formula>
    </cfRule>
    <cfRule type="expression" priority="36" dxfId="4">
      <formula>$J141="Yes"</formula>
    </cfRule>
  </conditionalFormatting>
  <conditionalFormatting sqref="P141">
    <cfRule type="cellIs" priority="33" operator="equal" dxfId="7">
      <formula>AS_DURATION_EFFORT</formula>
    </cfRule>
    <cfRule type="cellIs" priority="34" operator="equal" dxfId="6">
      <formula>AS_DEV_EFFORT</formula>
    </cfRule>
  </conditionalFormatting>
  <conditionalFormatting sqref="S143">
    <cfRule type="expression" priority="32" dxfId="4">
      <formula>#REF!="Yes"</formula>
    </cfRule>
  </conditionalFormatting>
  <conditionalFormatting sqref="B143">
    <cfRule type="expression" priority="31" dxfId="11">
      <formula>AD143&lt;&gt;""</formula>
    </cfRule>
  </conditionalFormatting>
  <conditionalFormatting sqref="O154:Q154">
    <cfRule type="expression" priority="29" dxfId="5">
      <formula>AND($G154="Yes", $S$6="Exclude")</formula>
    </cfRule>
    <cfRule type="expression" priority="30" dxfId="4">
      <formula>$J154="Yes"</formula>
    </cfRule>
  </conditionalFormatting>
  <conditionalFormatting sqref="P154">
    <cfRule type="cellIs" priority="27" operator="equal" dxfId="7">
      <formula>AS_DURATION_EFFORT</formula>
    </cfRule>
    <cfRule type="cellIs" priority="28" operator="equal" dxfId="6">
      <formula>AS_DEV_EFFORT</formula>
    </cfRule>
  </conditionalFormatting>
  <conditionalFormatting sqref="AB159">
    <cfRule type="expression" priority="25" dxfId="5">
      <formula>AND($G159="Yes", $S$6="Exclude")</formula>
    </cfRule>
    <cfRule type="expression" priority="26" dxfId="4">
      <formula>$J159="Yes"</formula>
    </cfRule>
  </conditionalFormatting>
  <conditionalFormatting sqref="B169">
    <cfRule type="expression" priority="22" dxfId="11">
      <formula>AD169&lt;&gt;""</formula>
    </cfRule>
  </conditionalFormatting>
  <conditionalFormatting sqref="Z169">
    <cfRule type="cellIs" priority="20" operator="greaterThan" dxfId="10">
      <formula>0</formula>
    </cfRule>
    <cfRule type="cellIs" priority="21" operator="lessThan" dxfId="9">
      <formula>0</formula>
    </cfRule>
  </conditionalFormatting>
  <conditionalFormatting sqref="S169">
    <cfRule type="cellIs" priority="19" operator="lessThan" dxfId="8">
      <formula>0</formula>
    </cfRule>
  </conditionalFormatting>
  <conditionalFormatting sqref="P169">
    <cfRule type="cellIs" priority="17" operator="equal" dxfId="7">
      <formula>AS_DURATION_EFFORT</formula>
    </cfRule>
    <cfRule type="cellIs" priority="18" operator="equal" dxfId="6">
      <formula>AS_DEV_EFFORT</formula>
    </cfRule>
  </conditionalFormatting>
  <conditionalFormatting sqref="L169:AC169">
    <cfRule type="expression" priority="23" dxfId="5">
      <formula>AND($G169="Yes", $S$6="Exclude")</formula>
    </cfRule>
    <cfRule type="expression" priority="24" dxfId="4">
      <formula>$J169="Yes"</formula>
    </cfRule>
  </conditionalFormatting>
  <conditionalFormatting sqref="F169">
    <cfRule type="expression" priority="16" dxfId="3">
      <formula>$K169&lt;&gt;""</formula>
    </cfRule>
  </conditionalFormatting>
  <conditionalFormatting sqref="C169">
    <cfRule type="expression" priority="15" dxfId="2">
      <formula>$G169&lt;&gt;"-"</formula>
    </cfRule>
  </conditionalFormatting>
  <conditionalFormatting sqref="D169">
    <cfRule type="expression" priority="14" dxfId="1">
      <formula>$H169&lt;&gt;"-"</formula>
    </cfRule>
  </conditionalFormatting>
  <conditionalFormatting sqref="E169">
    <cfRule type="expression" priority="13" dxfId="0">
      <formula>$I169&lt;&gt;"-"</formula>
    </cfRule>
  </conditionalFormatting>
  <conditionalFormatting sqref="B170">
    <cfRule type="expression" priority="10" dxfId="11">
      <formula>AD170&lt;&gt;""</formula>
    </cfRule>
  </conditionalFormatting>
  <conditionalFormatting sqref="Z170">
    <cfRule type="cellIs" priority="8" operator="greaterThan" dxfId="10">
      <formula>0</formula>
    </cfRule>
    <cfRule type="cellIs" priority="9" operator="lessThan" dxfId="9">
      <formula>0</formula>
    </cfRule>
  </conditionalFormatting>
  <conditionalFormatting sqref="S170">
    <cfRule type="cellIs" priority="7" operator="lessThan" dxfId="8">
      <formula>0</formula>
    </cfRule>
  </conditionalFormatting>
  <conditionalFormatting sqref="P170">
    <cfRule type="cellIs" priority="5" operator="equal" dxfId="7">
      <formula>AS_DURATION_EFFORT</formula>
    </cfRule>
    <cfRule type="cellIs" priority="6" operator="equal" dxfId="6">
      <formula>AS_DEV_EFFORT</formula>
    </cfRule>
  </conditionalFormatting>
  <conditionalFormatting sqref="L170:AC170">
    <cfRule type="expression" priority="11" dxfId="5">
      <formula>AND($G170="Yes", $S$6="Exclude")</formula>
    </cfRule>
    <cfRule type="expression" priority="12" dxfId="4">
      <formula>$J170="Yes"</formula>
    </cfRule>
  </conditionalFormatting>
  <conditionalFormatting sqref="F170">
    <cfRule type="expression" priority="4" dxfId="3">
      <formula>$K170&lt;&gt;""</formula>
    </cfRule>
  </conditionalFormatting>
  <conditionalFormatting sqref="C170">
    <cfRule type="expression" priority="3" dxfId="2">
      <formula>$G170&lt;&gt;"-"</formula>
    </cfRule>
  </conditionalFormatting>
  <conditionalFormatting sqref="D170">
    <cfRule type="expression" priority="2" dxfId="1">
      <formula>$H170&lt;&gt;"-"</formula>
    </cfRule>
  </conditionalFormatting>
  <conditionalFormatting sqref="E170">
    <cfRule type="expression" priority="1" dxfId="0">
      <formula>$I170&lt;&gt;"-"</formula>
    </cfRule>
  </conditionalFormatting>
  <dataValidations count="11">
    <dataValidation sqref="S5" showDropDown="0" showInputMessage="1" showErrorMessage="1" allowBlank="1" type="list">
      <formula1>SALES_CALL_SCALE_LIST</formula1>
    </dataValidation>
    <dataValidation sqref="S6" showDropDown="0" showInputMessage="1" showErrorMessage="1" allowBlank="1" type="list">
      <formula1>INCLUDE_OPTIONALS_LIST</formula1>
    </dataValidation>
    <dataValidation sqref="O258" showDropDown="0" showInputMessage="1" showErrorMessage="1" allowBlank="1" type="list">
      <formula1>YES_NO_LIST</formula1>
    </dataValidation>
    <dataValidation sqref="O255" showDropDown="0" showInputMessage="1" showErrorMessage="1" allowBlank="1" type="list">
      <formula1>PLATFORMS_LIST</formula1>
    </dataValidation>
    <dataValidation sqref="O256" showDropDown="0" showInputMessage="1" showErrorMessage="1" allowBlank="1" type="list">
      <formula1>PROJECT_TYPES_LIST</formula1>
    </dataValidation>
    <dataValidation sqref="O260" showDropDown="0" showInputMessage="1" showErrorMessage="1" allowBlank="1" type="list">
      <formula1>CURRENCIES_LIST</formula1>
    </dataValidation>
    <dataValidation sqref="O259" showDropDown="0" showInputMessage="1" showErrorMessage="1" allowBlank="1" type="list">
      <formula1>REGIONS_LIST</formula1>
    </dataValidation>
    <dataValidation sqref="G16:G18 G22:G24 G28:G31 G35:G39 G43:G45 G49:G54 G58:G62 G69:G70 G74 G78:G81 G85:G92 G99:G102 G106:G110 G115:G116 G121:G122 G126 G131:G132 G140:G141 G146:G149 G153:G154 G158:G161 G165:G170 G177:G178 G182 G186 G190:G193 G200 G376 J16:J18 J22:J24 J28:J31 J35:J39 J43:J45 J49:J54 J58:J62 J69:J70 J74 J78:J81 J85:J92 J99:J102 J106:J110 J115:J116 J121:J122 J126 J131:J132 J140:J141 J146:J149 J153:J154 J158:J161 J165:J170 J177:J178 J182 J186 J190:J193 J200 J376" showDropDown="0" showInputMessage="1" showErrorMessage="1" allowBlank="0" type="list">
      <formula1>YES_NO_LIST</formula1>
    </dataValidation>
    <dataValidation sqref="I16:I18 I22:I24 I28:I31 I35:I39 I43:I45 I49:I54 I58:I62 I69:I70 I74 I78:I81 I85:I92 I99:I102 I106:I110 I115:I116 I121:I122 I126 I131:I132 I140:I141 I146:I149 I153:I154 I158:I161 I165:I170 I177:I178 I182 I186 I190:I193 I200 I376" showDropDown="0" showInputMessage="1" showErrorMessage="1" allowBlank="0" type="list">
      <formula1>EXTRAS_LIST</formula1>
    </dataValidation>
    <dataValidation sqref="H16:H18 H22:H24 H28:H31 H35:H39 H43:H45 H49:H54 H58:H62 H69:H70 H74 H78:H81 H85:H92 H99:H102 H106:H110 H115:H116 H121:H122 H126 H131:H132 H140:H141 H146:H149 H153:H154 H158:H161 H165:H170 H177:H178 H182 H186 H190:H193 H200 H376" showDropDown="0" showInputMessage="1" showErrorMessage="1" allowBlank="0" type="list">
      <formula1>BUFFER_TYPES_LIST</formula1>
    </dataValidation>
    <dataValidation sqref="S210" showDropDown="0" showInputMessage="1" showErrorMessage="1" allowBlank="0" type="list">
      <formula1>"Default, Extended"</formula1>
    </dataValidation>
  </dataValidations>
  <hyperlinks>
    <hyperlink ref="S9" location="Estimation!V9" tooltip="Copy compact view of WBS as image" display="Compact"/>
    <hyperlink ref="T9" location="Estimation!U9" tooltip="Copy full WBS content as image" display="Full"/>
    <hyperlink ref="AB9" location="Help!A1" tooltip="Know what, how and why around most frequently asked questions." display="Read Help for more details."/>
    <hyperlink ref="C10" location="Estimation!C10" tooltip="Open" display="→"/>
    <hyperlink ref="C11" location="Estimation!C11" tooltip="Close" display="←"/>
    <hyperlink ref="C12" location="Estimation!C12" tooltip="Collapse All" display="−"/>
    <hyperlink ref="F12" location="Estimation!F12" tooltip="Expand All" display="Estimation!F12"/>
    <hyperlink ref="T210" location="Estimation!T71" tooltip="Refresh FBS" display="here"/>
    <hyperlink ref="T246" location="Schedule!A1" display="click here."/>
  </hyperlinks>
  <pageMargins left="0.7" right="0.7" top="0.75" bottom="0.75" header="0.3" footer="0.3"/>
  <pageSetup orientation="landscape" scale="58" horizontalDpi="4294967295" verticalDpi="4294967295"/>
  <drawing xmlns:r="http://schemas.openxmlformats.org/officeDocument/2006/relationships" r:id="rId1"/>
  <legacyDrawing xmlns:r="http://schemas.openxmlformats.org/officeDocument/2006/relationships" r:id="anysvml"/>
</worksheet>
</file>

<file path=xl/worksheets/sheet3.xml><?xml version="1.0" encoding="utf-8"?>
<worksheet xmlns="http://schemas.openxmlformats.org/spreadsheetml/2006/main">
  <sheetPr codeName="Sheet2">
    <outlinePr summaryBelow="1" summaryRight="1"/>
    <pageSetUpPr/>
  </sheetPr>
  <dimension ref="B1:AL19"/>
  <sheetViews>
    <sheetView topLeftCell="A20" zoomScaleNormal="100" workbookViewId="0">
      <selection activeCell="P27" sqref="P27"/>
    </sheetView>
  </sheetViews>
  <sheetFormatPr baseColWidth="10" defaultColWidth="3.83203125" defaultRowHeight="15"/>
  <cols>
    <col width="38.5" customWidth="1" style="337" min="2" max="2"/>
    <col width="3.83203125" customWidth="1" style="337" min="3" max="4"/>
  </cols>
  <sheetData>
    <row r="1" ht="15" customHeight="1" s="337">
      <c r="B1" s="269" t="inlineStr">
        <is>
          <t>Start Date</t>
        </is>
      </c>
      <c r="C1" s="339">
        <f>START_DATE</f>
        <v/>
      </c>
      <c r="D1" s="302" t="n"/>
      <c r="E1" s="302" t="n"/>
      <c r="F1" s="302" t="n"/>
      <c r="I1" s="270" t="inlineStr">
        <is>
          <t>End Date</t>
        </is>
      </c>
      <c r="L1" s="340" t="n">
        <v>46395</v>
      </c>
      <c r="M1" s="302" t="n"/>
      <c r="N1" s="302" t="n"/>
      <c r="O1" s="302" t="n"/>
      <c r="R1" s="94" t="n"/>
      <c r="S1" s="94" t="n"/>
      <c r="T1" s="94" t="n"/>
      <c r="U1" s="94" t="n"/>
      <c r="V1" s="94" t="n"/>
      <c r="W1" s="94" t="n"/>
      <c r="X1" s="94" t="n"/>
      <c r="Y1" s="94" t="n"/>
      <c r="Z1" s="94" t="n"/>
      <c r="AA1" s="94" t="n"/>
      <c r="AB1" s="94" t="n"/>
      <c r="AC1" s="94" t="n"/>
      <c r="AD1" s="94" t="n"/>
      <c r="AE1" s="94" t="n"/>
      <c r="AF1" s="94" t="n"/>
      <c r="AG1" s="94" t="n"/>
      <c r="AH1" s="94" t="n"/>
      <c r="AI1" s="94" t="n"/>
      <c r="AJ1" s="94" t="n"/>
    </row>
    <row r="2">
      <c r="B2" s="271" t="inlineStr">
        <is>
          <t>NOTE:</t>
        </is>
      </c>
      <c r="C2" s="272" t="inlineStr">
        <is>
          <t>Manually build the execution plan below using given template or otherwise and type in the final end date above.</t>
        </is>
      </c>
      <c r="Q2" s="94" t="n"/>
      <c r="R2" s="94" t="n"/>
      <c r="S2" s="94" t="n"/>
      <c r="T2" s="94" t="n"/>
      <c r="U2" s="94" t="n"/>
      <c r="V2" s="94" t="n"/>
      <c r="W2" s="94" t="n"/>
      <c r="X2" s="94" t="n"/>
      <c r="Y2" s="94" t="n"/>
      <c r="Z2" s="94" t="n"/>
      <c r="AA2" s="94" t="n"/>
      <c r="AB2" s="94" t="n"/>
      <c r="AC2" s="94" t="n"/>
      <c r="AD2" s="94" t="n"/>
      <c r="AE2" s="94" t="n"/>
      <c r="AF2" s="94" t="n"/>
      <c r="AG2" s="94" t="n"/>
      <c r="AH2" s="94" t="n"/>
      <c r="AI2" s="94" t="n"/>
      <c r="AJ2" s="94" t="n"/>
    </row>
    <row r="3">
      <c r="B3" s="269" t="inlineStr">
        <is>
          <t>Months</t>
        </is>
      </c>
      <c r="C3" s="338" t="n">
        <v>1</v>
      </c>
      <c r="D3" s="302" t="n"/>
      <c r="E3" s="302" t="n"/>
      <c r="F3" s="349" t="n"/>
      <c r="G3" s="336">
        <f>C3+1</f>
        <v/>
      </c>
      <c r="H3" s="302" t="n"/>
      <c r="I3" s="302" t="n"/>
      <c r="J3" s="302" t="n"/>
      <c r="K3" s="336">
        <f>G3+1</f>
        <v/>
      </c>
      <c r="L3" s="302" t="n"/>
      <c r="M3" s="302" t="n"/>
      <c r="N3" s="302" t="n"/>
      <c r="O3" s="336">
        <f>K3+1</f>
        <v/>
      </c>
      <c r="P3" s="302" t="n"/>
      <c r="Q3" s="302" t="n"/>
      <c r="R3" s="302" t="n"/>
      <c r="S3" s="336">
        <f>O3+1</f>
        <v/>
      </c>
      <c r="T3" s="302" t="n"/>
      <c r="U3" s="302" t="n"/>
      <c r="V3" s="302" t="n"/>
      <c r="W3" s="336">
        <f>S3+1</f>
        <v/>
      </c>
      <c r="X3" s="302" t="n"/>
      <c r="Y3" s="302" t="n"/>
      <c r="Z3" s="302" t="n"/>
      <c r="AA3" s="336">
        <f>W3+1</f>
        <v/>
      </c>
      <c r="AB3" s="302" t="n"/>
      <c r="AC3" s="302" t="n"/>
      <c r="AD3" s="302" t="n"/>
      <c r="AE3" s="336">
        <f>AA3+1</f>
        <v/>
      </c>
      <c r="AF3" s="302" t="n"/>
      <c r="AG3" s="302" t="n"/>
      <c r="AH3" s="302" t="n"/>
      <c r="AI3" s="336">
        <f>AE3+1</f>
        <v/>
      </c>
      <c r="AJ3" s="302" t="n"/>
      <c r="AK3" s="302" t="n"/>
      <c r="AL3" s="302" t="n"/>
    </row>
    <row r="4" ht="45.75" customHeight="1" s="337">
      <c r="B4" s="273" t="inlineStr">
        <is>
          <t>Weeks</t>
        </is>
      </c>
      <c r="C4" s="364">
        <f>START_DATE</f>
        <v/>
      </c>
      <c r="D4" s="365">
        <f>WORKDAY(C4,5)</f>
        <v/>
      </c>
      <c r="E4" s="365">
        <f>WORKDAY(D4,5)</f>
        <v/>
      </c>
      <c r="F4" s="366">
        <f>WORKDAY(E4,5)</f>
        <v/>
      </c>
      <c r="G4" s="364">
        <f>WORKDAY(F4,5)</f>
        <v/>
      </c>
      <c r="H4" s="365">
        <f>WORKDAY(G4,5)</f>
        <v/>
      </c>
      <c r="I4" s="365">
        <f>WORKDAY(H4,5)</f>
        <v/>
      </c>
      <c r="J4" s="365">
        <f>WORKDAY(I4,5)</f>
        <v/>
      </c>
      <c r="K4" s="364">
        <f>WORKDAY(J4,5)</f>
        <v/>
      </c>
      <c r="L4" s="365">
        <f>WORKDAY(K4,5)</f>
        <v/>
      </c>
      <c r="M4" s="365">
        <f>WORKDAY(L4,5)</f>
        <v/>
      </c>
      <c r="N4" s="365">
        <f>WORKDAY(M4,5)</f>
        <v/>
      </c>
      <c r="O4" s="364">
        <f>WORKDAY(N4,5)</f>
        <v/>
      </c>
      <c r="P4" s="365">
        <f>WORKDAY(O4,5)</f>
        <v/>
      </c>
      <c r="Q4" s="365">
        <f>WORKDAY(P4,5)</f>
        <v/>
      </c>
      <c r="R4" s="365">
        <f>WORKDAY(Q4,5)</f>
        <v/>
      </c>
      <c r="S4" s="364">
        <f>WORKDAY(R4,5)</f>
        <v/>
      </c>
      <c r="T4" s="365">
        <f>WORKDAY(S4,5)</f>
        <v/>
      </c>
      <c r="U4" s="365">
        <f>WORKDAY(T4,5)</f>
        <v/>
      </c>
      <c r="V4" s="365">
        <f>WORKDAY(U4,5)</f>
        <v/>
      </c>
      <c r="W4" s="364">
        <f>WORKDAY(V4,5)</f>
        <v/>
      </c>
      <c r="X4" s="365">
        <f>WORKDAY(W4,5)</f>
        <v/>
      </c>
      <c r="Y4" s="365">
        <f>WORKDAY(X4,5)</f>
        <v/>
      </c>
      <c r="Z4" s="365">
        <f>WORKDAY(Y4,5)</f>
        <v/>
      </c>
      <c r="AA4" s="364">
        <f>WORKDAY(Z4,5)</f>
        <v/>
      </c>
      <c r="AB4" s="365">
        <f>WORKDAY(AA4,5)</f>
        <v/>
      </c>
      <c r="AC4" s="365">
        <f>WORKDAY(AB4,5)</f>
        <v/>
      </c>
      <c r="AD4" s="365">
        <f>WORKDAY(AC4,5)</f>
        <v/>
      </c>
      <c r="AE4" s="364">
        <f>WORKDAY(AD4,5)</f>
        <v/>
      </c>
      <c r="AF4" s="365">
        <f>WORKDAY(AE4,5)</f>
        <v/>
      </c>
      <c r="AG4" s="365">
        <f>WORKDAY(AF4,5)</f>
        <v/>
      </c>
      <c r="AH4" s="365">
        <f>WORKDAY(AG4,5)</f>
        <v/>
      </c>
      <c r="AI4" s="364">
        <f>WORKDAY(AH4,5)</f>
        <v/>
      </c>
      <c r="AJ4" s="365">
        <f>WORKDAY(AI4,5)</f>
        <v/>
      </c>
      <c r="AK4" s="365">
        <f>WORKDAY(AJ4,5)</f>
        <v/>
      </c>
      <c r="AL4" s="365">
        <f>WORKDAY(AK4,5)</f>
        <v/>
      </c>
    </row>
    <row r="5">
      <c r="B5" s="277" t="inlineStr">
        <is>
          <t>Phases</t>
        </is>
      </c>
      <c r="C5" s="87" t="n"/>
      <c r="D5" s="87" t="n"/>
      <c r="E5" s="87" t="n"/>
      <c r="F5" s="87" t="n"/>
      <c r="G5" s="87" t="n"/>
      <c r="H5" s="87" t="n"/>
      <c r="I5" s="87" t="n"/>
      <c r="J5" s="87" t="n"/>
      <c r="K5" s="87" t="n"/>
      <c r="L5" s="87" t="n"/>
      <c r="M5" s="87" t="n"/>
      <c r="N5" s="87" t="n"/>
      <c r="O5" s="87" t="n"/>
      <c r="P5" s="87" t="n"/>
      <c r="Q5" s="87" t="n"/>
      <c r="R5" s="87" t="n"/>
      <c r="S5" s="87" t="n"/>
      <c r="T5" s="87" t="n"/>
      <c r="U5" s="87" t="n"/>
      <c r="V5" s="87" t="n"/>
      <c r="W5" s="87" t="n"/>
      <c r="X5" s="87" t="n"/>
      <c r="Y5" s="87" t="n"/>
      <c r="Z5" s="87" t="n"/>
      <c r="AA5" s="87" t="n"/>
      <c r="AB5" s="87" t="n"/>
      <c r="AC5" s="87" t="n"/>
      <c r="AD5" s="87" t="n"/>
      <c r="AE5" s="87" t="n"/>
      <c r="AF5" s="87" t="n"/>
      <c r="AG5" s="87" t="n"/>
      <c r="AH5" s="87" t="n"/>
      <c r="AI5" s="87" t="n"/>
      <c r="AJ5" s="87" t="n"/>
      <c r="AK5" s="87" t="n"/>
      <c r="AL5" s="87" t="n"/>
    </row>
    <row r="6">
      <c r="B6" s="278">
        <f>Estimation!N237</f>
        <v/>
      </c>
      <c r="C6" s="89" t="n"/>
      <c r="D6" s="89" t="n"/>
      <c r="E6" s="89" t="n"/>
    </row>
    <row r="7">
      <c r="B7" s="278">
        <f>Estimation!N238</f>
        <v/>
      </c>
      <c r="E7" s="90" t="n"/>
      <c r="F7" s="90" t="n"/>
      <c r="G7" s="90" t="n"/>
      <c r="H7" s="90" t="n"/>
      <c r="I7" s="90" t="n"/>
    </row>
    <row r="8">
      <c r="B8" s="278">
        <f>Estimation!N239</f>
        <v/>
      </c>
      <c r="H8" s="91" t="n"/>
      <c r="I8" s="91" t="n"/>
      <c r="J8" s="91" t="n"/>
      <c r="K8" s="91" t="n"/>
      <c r="L8" s="91" t="n"/>
      <c r="M8" s="91" t="n"/>
      <c r="N8" s="91" t="n"/>
      <c r="O8" s="91" t="n"/>
      <c r="P8" s="91" t="n"/>
      <c r="Q8" s="91" t="n"/>
      <c r="R8" s="91" t="n"/>
      <c r="S8" s="91" t="n"/>
      <c r="T8" s="91" t="n"/>
    </row>
    <row r="9">
      <c r="B9" s="278">
        <f>Estimation!N240</f>
        <v/>
      </c>
      <c r="Q9" s="92" t="n"/>
      <c r="R9" s="92" t="n"/>
      <c r="S9" s="92" t="n"/>
      <c r="T9" s="92" t="n"/>
      <c r="U9" s="92" t="n"/>
      <c r="V9" s="92" t="n"/>
      <c r="W9" s="92" t="n"/>
      <c r="X9" s="92" t="n"/>
    </row>
    <row r="10">
      <c r="B10" s="278">
        <f>Estimation!N241</f>
        <v/>
      </c>
      <c r="W10" s="93" t="n"/>
      <c r="X10" s="93" t="n"/>
      <c r="Y10" s="93" t="n"/>
      <c r="Z10" s="93" t="n"/>
      <c r="AA10" s="93" t="n"/>
    </row>
    <row r="11">
      <c r="B11" s="278">
        <f>Estimation!N242</f>
        <v/>
      </c>
      <c r="AA11" s="74" t="n"/>
      <c r="AB11" s="74" t="n"/>
      <c r="AC11" s="74" t="n"/>
      <c r="AD11" s="74" t="n"/>
      <c r="AE11" s="74" t="n"/>
      <c r="AF11" s="74" t="n"/>
      <c r="AG11" s="74" t="n"/>
      <c r="AH11" s="74" t="n"/>
    </row>
    <row r="12">
      <c r="B12" s="277" t="inlineStr">
        <is>
          <t>Resources</t>
        </is>
      </c>
      <c r="C12" s="87" t="n"/>
      <c r="D12" s="87" t="n"/>
      <c r="E12" s="87" t="n"/>
      <c r="F12" s="87" t="n"/>
      <c r="G12" s="87" t="n"/>
      <c r="H12" s="87" t="n"/>
      <c r="I12" s="87" t="n"/>
      <c r="J12" s="87" t="n"/>
      <c r="K12" s="87" t="n"/>
      <c r="L12" s="87" t="n"/>
      <c r="M12" s="87" t="n"/>
      <c r="N12" s="87" t="n"/>
      <c r="O12" s="87" t="n"/>
      <c r="P12" s="87" t="n"/>
      <c r="Q12" s="87" t="n"/>
      <c r="R12" s="87" t="n"/>
      <c r="S12" s="87" t="n"/>
      <c r="T12" s="87" t="n"/>
      <c r="U12" s="87" t="n"/>
      <c r="V12" s="87" t="n"/>
      <c r="W12" s="87" t="n"/>
      <c r="X12" s="87" t="n"/>
      <c r="Y12" s="87" t="n"/>
      <c r="Z12" s="87" t="n"/>
      <c r="AA12" s="87" t="n"/>
      <c r="AB12" s="87" t="n"/>
      <c r="AC12" s="87" t="n"/>
      <c r="AD12" s="87" t="n"/>
      <c r="AE12" s="87" t="n"/>
      <c r="AF12" s="87" t="n"/>
      <c r="AG12" s="87" t="n"/>
      <c r="AH12" s="87" t="n"/>
      <c r="AI12" s="87" t="n"/>
      <c r="AJ12" s="87" t="n"/>
      <c r="AK12" s="87" t="n"/>
      <c r="AL12" s="87" t="n"/>
    </row>
    <row r="13">
      <c r="B13" s="278" t="inlineStr">
        <is>
          <t>BA</t>
        </is>
      </c>
      <c r="C13" s="279" t="n">
        <v>2</v>
      </c>
      <c r="D13" s="279" t="n">
        <v>2</v>
      </c>
      <c r="E13" s="279" t="n">
        <v>2</v>
      </c>
      <c r="F13" s="279" t="n">
        <v>2</v>
      </c>
      <c r="G13" s="279" t="n"/>
      <c r="H13" s="279" t="n"/>
      <c r="I13" s="279" t="n"/>
      <c r="J13" s="279" t="n"/>
      <c r="K13" s="279" t="n"/>
      <c r="L13" s="279" t="n"/>
      <c r="M13" s="279" t="n"/>
      <c r="N13" s="279" t="n"/>
      <c r="O13" s="279" t="n"/>
      <c r="P13" s="279" t="n"/>
      <c r="Q13" s="279" t="n"/>
      <c r="R13" s="279" t="n"/>
      <c r="S13" s="279" t="n"/>
      <c r="T13" s="279" t="n"/>
      <c r="U13" s="279" t="n"/>
      <c r="V13" s="279" t="n"/>
      <c r="W13" s="279" t="n"/>
      <c r="X13" s="279" t="n"/>
      <c r="Y13" s="279" t="n"/>
      <c r="Z13" s="279" t="n"/>
      <c r="AA13" s="279" t="n"/>
      <c r="AB13" s="279" t="n"/>
      <c r="AC13" s="279" t="n"/>
      <c r="AD13" s="279" t="n"/>
      <c r="AE13" s="279" t="n"/>
      <c r="AF13" s="279" t="n"/>
      <c r="AG13" s="279" t="n"/>
      <c r="AH13" s="279" t="n"/>
      <c r="AI13" s="279" t="n"/>
      <c r="AJ13" s="279" t="n"/>
      <c r="AK13" s="279" t="n"/>
      <c r="AL13" s="279" t="n"/>
    </row>
    <row r="14">
      <c r="B14" s="278" t="inlineStr">
        <is>
          <t>TA</t>
        </is>
      </c>
      <c r="C14" s="279" t="n"/>
      <c r="D14" s="279" t="n"/>
      <c r="E14" s="279" t="n"/>
      <c r="F14" s="279" t="n">
        <v>3</v>
      </c>
      <c r="G14" s="279" t="n">
        <v>3</v>
      </c>
      <c r="H14" s="279" t="n">
        <v>3</v>
      </c>
      <c r="I14" s="279" t="n">
        <v>3</v>
      </c>
      <c r="J14" s="279" t="n">
        <v>3</v>
      </c>
      <c r="K14" s="279" t="n"/>
      <c r="L14" s="279" t="n"/>
      <c r="M14" s="279" t="n"/>
      <c r="N14" s="279" t="n"/>
      <c r="O14" s="279" t="n"/>
      <c r="P14" s="279" t="n"/>
      <c r="Q14" s="279" t="n"/>
      <c r="R14" s="279" t="n">
        <v>1</v>
      </c>
      <c r="S14" s="279" t="n">
        <v>1</v>
      </c>
      <c r="T14" s="279" t="n">
        <v>1</v>
      </c>
      <c r="U14" s="279" t="n">
        <v>1</v>
      </c>
      <c r="V14" s="279" t="n">
        <v>1</v>
      </c>
      <c r="W14" s="279" t="n">
        <v>1</v>
      </c>
      <c r="X14" s="279" t="n">
        <v>1</v>
      </c>
      <c r="Y14" s="279" t="n">
        <v>1</v>
      </c>
      <c r="Z14" s="279" t="n">
        <v>1</v>
      </c>
      <c r="AA14" s="279" t="n">
        <v>1</v>
      </c>
      <c r="AB14" s="279" t="n">
        <v>1</v>
      </c>
      <c r="AC14" s="279" t="n"/>
      <c r="AD14" s="279" t="n"/>
      <c r="AE14" s="279" t="n"/>
      <c r="AF14" s="279" t="n"/>
      <c r="AG14" s="279" t="n"/>
      <c r="AH14" s="279" t="n"/>
      <c r="AI14" s="279" t="n"/>
      <c r="AJ14" s="279" t="n"/>
      <c r="AK14" s="279" t="n"/>
      <c r="AL14" s="279" t="n"/>
    </row>
    <row r="15">
      <c r="B15" s="278" t="inlineStr">
        <is>
          <t>TL</t>
        </is>
      </c>
      <c r="C15" s="279" t="n">
        <v>1</v>
      </c>
      <c r="D15" s="279" t="n">
        <v>1</v>
      </c>
      <c r="E15" s="279" t="n">
        <v>1</v>
      </c>
      <c r="F15" s="279" t="n">
        <v>1</v>
      </c>
      <c r="G15" s="279" t="n">
        <v>1</v>
      </c>
      <c r="H15" s="279" t="n">
        <v>1</v>
      </c>
      <c r="I15" s="279" t="n">
        <v>1</v>
      </c>
      <c r="J15" s="279" t="n">
        <v>1</v>
      </c>
      <c r="K15" s="279" t="n">
        <v>1</v>
      </c>
      <c r="L15" s="279" t="n">
        <v>1</v>
      </c>
      <c r="M15" s="279" t="n">
        <v>1</v>
      </c>
      <c r="N15" s="279" t="n">
        <v>1</v>
      </c>
      <c r="O15" s="279" t="n">
        <v>1</v>
      </c>
      <c r="P15" s="279" t="n">
        <v>1</v>
      </c>
      <c r="Q15" s="279" t="n">
        <v>1</v>
      </c>
      <c r="R15" s="279" t="n">
        <v>1</v>
      </c>
      <c r="S15" s="279" t="n">
        <v>1</v>
      </c>
      <c r="T15" s="279" t="n">
        <v>1</v>
      </c>
      <c r="U15" s="279" t="n">
        <v>1</v>
      </c>
      <c r="V15" s="279" t="n">
        <v>1</v>
      </c>
      <c r="W15" s="279" t="n">
        <v>1</v>
      </c>
      <c r="X15" s="279" t="n">
        <v>1</v>
      </c>
      <c r="Y15" s="279" t="n">
        <v>1</v>
      </c>
      <c r="Z15" s="279" t="n">
        <v>1</v>
      </c>
      <c r="AA15" s="279" t="n">
        <v>1</v>
      </c>
      <c r="AB15" s="279" t="n">
        <v>1</v>
      </c>
      <c r="AC15" s="279" t="n">
        <v>1</v>
      </c>
      <c r="AD15" s="279" t="n">
        <v>1</v>
      </c>
      <c r="AE15" s="279" t="n">
        <v>1</v>
      </c>
      <c r="AF15" s="279" t="n">
        <v>1</v>
      </c>
      <c r="AG15" s="279" t="n">
        <v>1</v>
      </c>
      <c r="AH15" s="279" t="n">
        <v>1</v>
      </c>
      <c r="AI15" s="279" t="n"/>
      <c r="AJ15" s="279" t="n"/>
      <c r="AK15" s="279" t="n"/>
      <c r="AL15" s="279" t="n"/>
    </row>
    <row r="16">
      <c r="B16" s="278" t="inlineStr">
        <is>
          <t>DEV</t>
        </is>
      </c>
      <c r="C16" s="279" t="n"/>
      <c r="D16" s="279" t="n"/>
      <c r="E16" s="279" t="n"/>
      <c r="F16" s="279" t="n"/>
      <c r="G16" s="279" t="n"/>
      <c r="H16" s="279" t="n"/>
      <c r="I16" s="279" t="n">
        <v>2</v>
      </c>
      <c r="J16" s="279" t="n">
        <v>2</v>
      </c>
      <c r="K16" s="279" t="n">
        <v>2</v>
      </c>
      <c r="L16" s="279" t="n">
        <v>2</v>
      </c>
      <c r="M16" s="279" t="n">
        <v>2</v>
      </c>
      <c r="N16" s="279" t="n">
        <v>2</v>
      </c>
      <c r="O16" s="279" t="n">
        <v>2</v>
      </c>
      <c r="P16" s="279" t="n">
        <v>2</v>
      </c>
      <c r="Q16" s="279" t="n">
        <v>2</v>
      </c>
      <c r="R16" s="279" t="n">
        <v>2</v>
      </c>
      <c r="S16" s="279" t="n">
        <v>2</v>
      </c>
      <c r="T16" s="279" t="n">
        <v>2</v>
      </c>
      <c r="U16" s="279" t="n">
        <v>2</v>
      </c>
      <c r="V16" s="279" t="n">
        <v>2</v>
      </c>
      <c r="W16" s="279" t="n">
        <v>2</v>
      </c>
      <c r="X16" s="279" t="n">
        <v>2</v>
      </c>
      <c r="Y16" s="279" t="n">
        <v>1</v>
      </c>
      <c r="Z16" s="279" t="n">
        <v>1</v>
      </c>
      <c r="AA16" s="279" t="n">
        <v>1</v>
      </c>
      <c r="AB16" s="279" t="n">
        <v>1</v>
      </c>
      <c r="AC16" s="279" t="n"/>
      <c r="AD16" s="279" t="n"/>
      <c r="AE16" s="279" t="n"/>
      <c r="AF16" s="279" t="n"/>
      <c r="AG16" s="279" t="n"/>
      <c r="AH16" s="279" t="n"/>
      <c r="AI16" s="279" t="n"/>
      <c r="AJ16" s="279" t="n"/>
      <c r="AK16" s="279" t="n"/>
      <c r="AL16" s="279" t="n"/>
    </row>
    <row r="17">
      <c r="B17" s="278" t="inlineStr">
        <is>
          <t>QA</t>
        </is>
      </c>
      <c r="C17" s="279" t="n"/>
      <c r="D17" s="279" t="n"/>
      <c r="E17" s="279" t="n"/>
      <c r="F17" s="279" t="n"/>
      <c r="G17" s="279" t="n"/>
      <c r="H17" s="279" t="n"/>
      <c r="I17" s="279" t="n"/>
      <c r="J17" s="279" t="n"/>
      <c r="K17" s="279" t="n"/>
      <c r="L17" s="279" t="n"/>
      <c r="M17" s="279" t="n"/>
      <c r="N17" s="279" t="n"/>
      <c r="O17" s="279" t="n"/>
      <c r="P17" s="279" t="n"/>
      <c r="Q17" s="279" t="n"/>
      <c r="R17" s="279" t="n">
        <v>1</v>
      </c>
      <c r="S17" s="279" t="n">
        <v>1</v>
      </c>
      <c r="T17" s="279" t="n">
        <v>1</v>
      </c>
      <c r="U17" s="279" t="n">
        <v>1</v>
      </c>
      <c r="V17" s="279" t="n">
        <v>1</v>
      </c>
      <c r="W17" s="279" t="n">
        <v>1</v>
      </c>
      <c r="X17" s="279" t="n">
        <v>1</v>
      </c>
      <c r="Y17" s="279" t="n">
        <v>1</v>
      </c>
      <c r="Z17" s="279" t="n">
        <v>1</v>
      </c>
      <c r="AA17" s="279" t="n">
        <v>1</v>
      </c>
      <c r="AB17" s="279" t="n">
        <v>1</v>
      </c>
      <c r="AC17" s="279" t="n">
        <v>1</v>
      </c>
      <c r="AD17" s="279" t="n">
        <v>1</v>
      </c>
      <c r="AE17" s="279" t="n">
        <v>1</v>
      </c>
      <c r="AF17" s="279" t="n">
        <v>1</v>
      </c>
      <c r="AG17" s="279" t="n">
        <v>1</v>
      </c>
      <c r="AH17" s="279" t="n">
        <v>1</v>
      </c>
      <c r="AI17" s="279" t="n"/>
      <c r="AJ17" s="279" t="n"/>
      <c r="AK17" s="279" t="n"/>
      <c r="AL17" s="279" t="n"/>
    </row>
    <row r="18">
      <c r="B18" s="278" t="inlineStr">
        <is>
          <t>GD</t>
        </is>
      </c>
      <c r="C18" s="279" t="n"/>
      <c r="D18" s="279" t="n"/>
      <c r="E18" s="279" t="n"/>
      <c r="F18" s="279" t="n">
        <v>1</v>
      </c>
      <c r="G18" s="279" t="n">
        <v>1</v>
      </c>
      <c r="H18" s="279" t="n">
        <v>1</v>
      </c>
      <c r="I18" s="279" t="n">
        <v>1</v>
      </c>
      <c r="J18" s="279" t="n">
        <v>1</v>
      </c>
      <c r="K18" s="279" t="n"/>
      <c r="L18" s="279" t="n"/>
      <c r="M18" s="279" t="n"/>
      <c r="N18" s="279" t="n"/>
      <c r="O18" s="279" t="n"/>
      <c r="P18" s="279" t="n"/>
      <c r="Q18" s="279" t="n"/>
      <c r="R18" s="279" t="n">
        <v>1</v>
      </c>
      <c r="S18" s="279" t="n">
        <v>1</v>
      </c>
      <c r="T18" s="279" t="n">
        <v>1</v>
      </c>
      <c r="U18" s="279" t="n">
        <v>1</v>
      </c>
      <c r="V18" s="279" t="n">
        <v>1</v>
      </c>
      <c r="W18" s="279" t="n"/>
      <c r="X18" s="279" t="n"/>
      <c r="Y18" s="279" t="n"/>
      <c r="Z18" s="279" t="n"/>
      <c r="AA18" s="279" t="n"/>
      <c r="AB18" s="279" t="n"/>
      <c r="AC18" s="279" t="n"/>
      <c r="AD18" s="279" t="n"/>
      <c r="AE18" s="279" t="n"/>
      <c r="AF18" s="279" t="n"/>
      <c r="AG18" s="279" t="n"/>
      <c r="AH18" s="279" t="n"/>
      <c r="AI18" s="279" t="n"/>
      <c r="AJ18" s="279" t="n"/>
      <c r="AK18" s="279" t="n"/>
      <c r="AL18" s="279" t="n"/>
    </row>
    <row r="19">
      <c r="C19" s="88" t="n"/>
      <c r="D19" s="88" t="n"/>
      <c r="E19" s="88" t="n"/>
      <c r="F19" s="88" t="n"/>
      <c r="G19" s="88" t="n"/>
      <c r="H19" s="88" t="n"/>
      <c r="I19" s="88" t="n"/>
      <c r="J19" s="88" t="n"/>
      <c r="K19" s="88" t="n"/>
      <c r="L19" s="88" t="n"/>
      <c r="M19" s="88" t="n"/>
      <c r="N19" s="88" t="n"/>
      <c r="O19" s="88" t="n"/>
      <c r="P19" s="88" t="n"/>
      <c r="Q19" s="88" t="n"/>
      <c r="R19" s="88" t="n"/>
      <c r="S19" s="88" t="n"/>
      <c r="T19" s="88" t="n"/>
      <c r="U19" s="88" t="n"/>
      <c r="V19" s="88" t="n"/>
      <c r="W19" s="88" t="n"/>
      <c r="X19" s="88" t="n"/>
      <c r="Y19" s="88" t="n"/>
      <c r="Z19" s="88" t="n"/>
      <c r="AA19" s="88" t="n"/>
      <c r="AB19" s="88" t="n"/>
      <c r="AC19" s="88" t="n"/>
      <c r="AD19" s="88" t="n"/>
      <c r="AE19" s="88" t="n"/>
      <c r="AF19" s="88" t="n"/>
      <c r="AG19" s="88" t="n"/>
      <c r="AH19" s="88" t="n"/>
      <c r="AI19" s="88" t="n"/>
      <c r="AJ19" s="88" t="n"/>
      <c r="AK19" s="88" t="n"/>
      <c r="AL19" s="88" t="n"/>
    </row>
  </sheetData>
  <mergeCells count="11">
    <mergeCell ref="W3:Z3"/>
    <mergeCell ref="C3:F3"/>
    <mergeCell ref="S3:V3"/>
    <mergeCell ref="G3:J3"/>
    <mergeCell ref="K3:N3"/>
    <mergeCell ref="AA3:AD3"/>
    <mergeCell ref="O3:R3"/>
    <mergeCell ref="AE3:AH3"/>
    <mergeCell ref="AI3:AL3"/>
    <mergeCell ref="C1:F1"/>
    <mergeCell ref="L1:O1"/>
  </mergeCells>
  <pageMargins left="0.7" right="0.7" top="0.75" bottom="0.75" header="0.3" footer="0.3"/>
  <pageSetup orientation="landscape" scale="72" horizontalDpi="4294967295" verticalDpi="4294967295"/>
</worksheet>
</file>

<file path=xl/worksheets/sheet4.xml><?xml version="1.0" encoding="utf-8"?>
<worksheet xmlns="http://schemas.openxmlformats.org/spreadsheetml/2006/main">
  <sheetPr codeName="Sheet5">
    <tabColor rgb="FFC00000"/>
    <outlinePr summaryBelow="1" summaryRight="1"/>
    <pageSetUpPr/>
  </sheetPr>
  <dimension ref="A1:A1"/>
  <sheetViews>
    <sheetView workbookViewId="0">
      <selection activeCell="A1" sqref="A1"/>
    </sheetView>
  </sheetViews>
  <sheetFormatPr baseColWidth="10" defaultColWidth="8.83203125" defaultRowHeight="1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>
  <sheetPr codeName="Sheet4">
    <tabColor theme="1"/>
    <outlinePr summaryBelow="0" summaryRight="0"/>
    <pageSetUpPr/>
  </sheetPr>
  <dimension ref="B2:BQ154"/>
  <sheetViews>
    <sheetView showGridLines="0" workbookViewId="0">
      <pane ySplit="2" topLeftCell="A155" activePane="bottomLeft" state="frozenSplit"/>
      <selection pane="bottomLeft" activeCell="T142" sqref="T142"/>
    </sheetView>
  </sheetViews>
  <sheetFormatPr baseColWidth="10" defaultColWidth="2.83203125" defaultRowHeight="15"/>
  <cols>
    <col width="2.83203125" customWidth="1" style="342" min="1" max="1"/>
    <col width="2.83203125" customWidth="1" style="342" min="2" max="16384"/>
  </cols>
  <sheetData>
    <row r="2" ht="28.5" customHeight="1" s="337">
      <c r="B2" s="280">
        <f>TEMPLATE_NAME&amp;" "&amp;TEMPLATE_VER&amp;" - HELP"</f>
        <v/>
      </c>
    </row>
    <row r="4">
      <c r="B4" s="281" t="inlineStr">
        <is>
          <t>This estimation template is designed and developed to facilicate following:</t>
        </is>
      </c>
    </row>
    <row r="5">
      <c r="B5" s="282" t="inlineStr">
        <is>
          <t>●</t>
        </is>
      </c>
      <c r="D5" s="281" t="inlineStr">
        <is>
          <t>Get rid of all possibilities of formula errors</t>
        </is>
      </c>
    </row>
    <row r="6">
      <c r="B6" s="282" t="inlineStr">
        <is>
          <t>●</t>
        </is>
      </c>
      <c r="D6" s="281" t="inlineStr">
        <is>
          <t>Keep archiects focused on the process of 'estimation' itself and not on ensuring formula correctness and keeping tasks grouping intact</t>
        </is>
      </c>
    </row>
    <row r="7">
      <c r="B7" s="282" t="inlineStr">
        <is>
          <t>●</t>
        </is>
      </c>
      <c r="D7" s="281" t="inlineStr">
        <is>
          <t>Automating cost calculations</t>
        </is>
      </c>
    </row>
    <row r="8">
      <c r="B8" s="282" t="inlineStr">
        <is>
          <t>●</t>
        </is>
      </c>
      <c r="D8" s="281" t="inlineStr">
        <is>
          <t>Automating basic scheduling with minimum and mostly standard inputs</t>
        </is>
      </c>
    </row>
    <row r="9">
      <c r="B9" s="282" t="inlineStr">
        <is>
          <t>●</t>
        </is>
      </c>
      <c r="D9" s="281" t="inlineStr">
        <is>
          <t>Giving sales an opportuinity to play around with effort to reach desired costing without breaking the technical equilibrium</t>
        </is>
      </c>
    </row>
    <row r="10">
      <c r="B10" s="282" t="inlineStr">
        <is>
          <t>●</t>
        </is>
      </c>
      <c r="D10" s="281" t="inlineStr">
        <is>
          <t>Giving pre-sales a simpler interface to pick estimation details or summary for use in final proposal</t>
        </is>
      </c>
    </row>
    <row r="11">
      <c r="B11" s="282" t="inlineStr">
        <is>
          <t>●</t>
        </is>
      </c>
      <c r="D11" s="281" t="inlineStr">
        <is>
          <t>Giving MMs an easy and semi-automated and integrated worksheet for manual and optimized scheduling</t>
        </is>
      </c>
    </row>
    <row r="13">
      <c r="B13" s="343" t="inlineStr">
        <is>
          <t>Top 15 Features</t>
        </is>
      </c>
      <c r="C13" s="302" t="n"/>
      <c r="D13" s="302" t="n"/>
      <c r="E13" s="302" t="n"/>
      <c r="F13" s="302" t="n"/>
      <c r="G13" s="302" t="n"/>
      <c r="H13" s="302" t="n"/>
      <c r="I13" s="302" t="n"/>
      <c r="J13" s="302" t="n"/>
      <c r="N13" s="283" t="inlineStr">
        <is>
          <t>There are tons of other features; which are very intutive and utilized on their own. Yet, you can have a look at</t>
        </is>
      </c>
      <c r="O13" s="151" t="n"/>
      <c r="P13" s="151" t="n"/>
      <c r="Q13" s="151" t="n"/>
      <c r="R13" s="151" t="n"/>
      <c r="S13" s="151" t="n"/>
      <c r="T13" s="151" t="n"/>
      <c r="U13" s="151" t="n"/>
      <c r="V13" s="151" t="n"/>
      <c r="W13" s="151" t="n"/>
      <c r="X13" s="151" t="n"/>
      <c r="Y13" s="151" t="n"/>
      <c r="Z13" s="151" t="n"/>
      <c r="AA13" s="151" t="n"/>
      <c r="AB13" s="151" t="n"/>
      <c r="AC13" s="151" t="n"/>
      <c r="AD13" s="151" t="n"/>
      <c r="AE13" s="151" t="n"/>
      <c r="AF13" s="151" t="n"/>
      <c r="AG13" s="151" t="n"/>
      <c r="AH13" s="151" t="n"/>
      <c r="AI13" s="151" t="n"/>
      <c r="AJ13" s="151" t="n"/>
      <c r="AK13" s="151" t="n"/>
      <c r="AL13" s="151" t="n"/>
      <c r="AM13" s="151" t="n"/>
      <c r="AN13" s="151" t="n"/>
      <c r="AO13" s="151" t="n"/>
      <c r="AP13" s="151" t="n"/>
      <c r="AQ13" s="151" t="n"/>
      <c r="AR13" s="151" t="n"/>
      <c r="AS13" s="151" t="n"/>
      <c r="AT13" s="151" t="n"/>
      <c r="AU13" s="151" t="n"/>
      <c r="AV13" s="284" t="inlineStr">
        <is>
          <t>FAQs</t>
        </is>
      </c>
      <c r="AW13" s="151" t="n"/>
      <c r="AX13" s="283" t="inlineStr">
        <is>
          <t>for specific questions that</t>
        </is>
      </c>
      <c r="AY13" s="151" t="n"/>
      <c r="AZ13" s="151" t="n"/>
      <c r="BA13" s="151" t="n"/>
      <c r="BB13" s="151" t="n"/>
      <c r="BC13" s="151" t="n"/>
      <c r="BD13" s="151" t="n"/>
      <c r="BE13" s="151" t="n"/>
      <c r="BF13" s="151" t="n"/>
    </row>
    <row r="14">
      <c r="B14" s="302" t="n"/>
      <c r="C14" s="302" t="n"/>
      <c r="D14" s="302" t="n"/>
      <c r="E14" s="302" t="n"/>
      <c r="F14" s="302" t="n"/>
      <c r="G14" s="302" t="n"/>
      <c r="H14" s="302" t="n"/>
      <c r="I14" s="302" t="n"/>
      <c r="J14" s="302" t="n"/>
      <c r="N14" s="283" t="inlineStr">
        <is>
          <t>you may have.</t>
        </is>
      </c>
      <c r="S14" s="283" t="inlineStr">
        <is>
          <t xml:space="preserve">If you still have more questions, send a mail at: </t>
        </is>
      </c>
      <c r="AH14" s="284" t="inlineStr">
        <is>
          <t>vikas.burman@nagarro.com</t>
        </is>
      </c>
    </row>
    <row r="15" ht="15" customHeight="1" s="337">
      <c r="B15" s="152" t="n"/>
      <c r="C15" s="152" t="n"/>
      <c r="D15" s="152" t="n"/>
      <c r="E15" s="152" t="n"/>
      <c r="F15" s="152" t="n"/>
      <c r="G15" s="152" t="n"/>
      <c r="H15" s="152" t="n"/>
      <c r="I15" s="152" t="n"/>
      <c r="J15" s="152" t="n"/>
      <c r="N15" s="153" t="n"/>
      <c r="S15" s="153" t="n"/>
      <c r="AH15" s="154" t="n"/>
    </row>
    <row r="16" ht="15" customHeight="1" s="337">
      <c r="H16" s="341" t="inlineStr">
        <is>
          <t>Multi-level Auto Numbering</t>
        </is>
      </c>
      <c r="I16" s="302" t="n"/>
      <c r="J16" s="302" t="n"/>
      <c r="K16" s="302" t="n"/>
      <c r="L16" s="302" t="n"/>
      <c r="M16" s="302" t="n"/>
      <c r="N16" s="302" t="n"/>
      <c r="O16" s="302" t="n"/>
      <c r="P16" s="302" t="n"/>
      <c r="Q16" s="302" t="n"/>
      <c r="R16" s="302" t="n"/>
      <c r="S16" s="302" t="n"/>
      <c r="T16" s="302" t="n"/>
      <c r="U16" s="302" t="n"/>
      <c r="V16" s="302" t="n"/>
      <c r="AL16" s="341" t="inlineStr">
        <is>
          <t>Consistent 2-level Automated Grouping</t>
        </is>
      </c>
      <c r="AM16" s="302" t="n"/>
      <c r="AN16" s="302" t="n"/>
      <c r="AO16" s="302" t="n"/>
      <c r="AP16" s="302" t="n"/>
      <c r="AQ16" s="302" t="n"/>
      <c r="AR16" s="302" t="n"/>
      <c r="AS16" s="302" t="n"/>
      <c r="AT16" s="302" t="n"/>
      <c r="AU16" s="302" t="n"/>
      <c r="AV16" s="302" t="n"/>
      <c r="AW16" s="302" t="n"/>
      <c r="AX16" s="302" t="n"/>
      <c r="AY16" s="302" t="n"/>
      <c r="AZ16" s="302" t="n"/>
      <c r="BA16" s="302" t="n"/>
      <c r="BB16" s="302" t="n"/>
      <c r="BC16" s="302" t="n"/>
      <c r="BD16" s="302" t="n"/>
    </row>
    <row r="17" ht="15" customHeight="1" s="337">
      <c r="H17" s="302" t="n"/>
      <c r="I17" s="302" t="n"/>
      <c r="J17" s="302" t="n"/>
      <c r="K17" s="302" t="n"/>
      <c r="L17" s="302" t="n"/>
      <c r="M17" s="302" t="n"/>
      <c r="N17" s="302" t="n"/>
      <c r="O17" s="302" t="n"/>
      <c r="P17" s="302" t="n"/>
      <c r="Q17" s="302" t="n"/>
      <c r="R17" s="302" t="n"/>
      <c r="S17" s="302" t="n"/>
      <c r="T17" s="302" t="n"/>
      <c r="U17" s="302" t="n"/>
      <c r="V17" s="302" t="n"/>
      <c r="AL17" s="302" t="n"/>
      <c r="AM17" s="302" t="n"/>
      <c r="AN17" s="302" t="n"/>
      <c r="AO17" s="302" t="n"/>
      <c r="AP17" s="302" t="n"/>
      <c r="AQ17" s="302" t="n"/>
      <c r="AR17" s="302" t="n"/>
      <c r="AS17" s="302" t="n"/>
      <c r="AT17" s="302" t="n"/>
      <c r="AU17" s="302" t="n"/>
      <c r="AV17" s="302" t="n"/>
      <c r="AW17" s="302" t="n"/>
      <c r="AX17" s="302" t="n"/>
      <c r="AY17" s="302" t="n"/>
      <c r="AZ17" s="302" t="n"/>
      <c r="BA17" s="302" t="n"/>
      <c r="BB17" s="302" t="n"/>
      <c r="BC17" s="302" t="n"/>
      <c r="BD17" s="302" t="n"/>
    </row>
    <row r="18">
      <c r="H18" s="281" t="inlineStr">
        <is>
          <t>It numbers and re-numbers tasks and activities</t>
        </is>
      </c>
      <c r="AL18" s="281" t="inlineStr">
        <is>
          <t>Across all phases, it does consistent two level grouping</t>
        </is>
      </c>
    </row>
    <row r="19">
      <c r="H19" s="281" t="inlineStr">
        <is>
          <t>automatically as you insert or remove items.</t>
        </is>
      </c>
      <c r="AL19" s="281" t="inlineStr">
        <is>
          <t>of tasks and activities; automatically as you insert or remove</t>
        </is>
      </c>
    </row>
    <row r="20">
      <c r="H20" s="281" t="inlineStr">
        <is>
          <t>Phase numbers are kept manual as this is generally fixed</t>
        </is>
      </c>
      <c r="AL20" s="281" t="inlineStr">
        <is>
          <t xml:space="preserve">items. </t>
        </is>
      </c>
    </row>
    <row r="21">
      <c r="H21" s="281" t="inlineStr">
        <is>
          <t xml:space="preserve">and rarely changes. </t>
        </is>
      </c>
    </row>
    <row r="22">
      <c r="H22" s="281" t="inlineStr">
        <is>
          <t>Task groups don't have numbers by default, but you can</t>
        </is>
      </c>
      <c r="AL22" s="281" t="inlineStr">
        <is>
          <t>A task group can bring in one level of logical seperation without</t>
        </is>
      </c>
    </row>
    <row r="23">
      <c r="H23" s="281" t="inlineStr">
        <is>
          <t>do manual numbering, if you need.</t>
        </is>
      </c>
      <c r="AL23" s="281" t="inlineStr">
        <is>
          <t>adding another level of grouping.</t>
        </is>
      </c>
    </row>
    <row r="29">
      <c r="B29" s="341" t="inlineStr">
        <is>
          <t>Controlled Insert/Delete</t>
        </is>
      </c>
      <c r="C29" s="302" t="n"/>
      <c r="D29" s="302" t="n"/>
      <c r="E29" s="302" t="n"/>
      <c r="F29" s="302" t="n"/>
      <c r="G29" s="302" t="n"/>
      <c r="H29" s="302" t="n"/>
      <c r="I29" s="302" t="n"/>
      <c r="J29" s="302" t="n"/>
      <c r="K29" s="302" t="n"/>
      <c r="L29" s="302" t="n"/>
      <c r="M29" s="302" t="n"/>
      <c r="N29" s="302" t="n"/>
      <c r="O29" s="302" t="n"/>
    </row>
    <row r="30">
      <c r="B30" s="302" t="n"/>
      <c r="C30" s="302" t="n"/>
      <c r="D30" s="302" t="n"/>
      <c r="E30" s="302" t="n"/>
      <c r="F30" s="302" t="n"/>
      <c r="G30" s="302" t="n"/>
      <c r="H30" s="302" t="n"/>
      <c r="I30" s="302" t="n"/>
      <c r="J30" s="302" t="n"/>
      <c r="K30" s="302" t="n"/>
      <c r="L30" s="302" t="n"/>
      <c r="M30" s="302" t="n"/>
      <c r="N30" s="302" t="n"/>
      <c r="O30" s="302" t="n"/>
    </row>
    <row r="31">
      <c r="B31" s="281" t="inlineStr">
        <is>
          <t>Since estimation sheet is password protected and does not allow adding/removing rows anywhere, it provieds simple command buttons to add tasks, activities and groups.</t>
        </is>
      </c>
    </row>
    <row r="32">
      <c r="B32" s="281" t="inlineStr">
        <is>
          <t>Add Before button add a task when not inside/on a section/task; when inside a task or on an activity, it adds an activity</t>
        </is>
      </c>
    </row>
    <row r="33">
      <c r="B33" s="281" t="inlineStr">
        <is>
          <t>Add After button do  the same as Add Before, but insert new item on top of current row</t>
        </is>
      </c>
    </row>
    <row r="34">
      <c r="B34" s="281" t="inlineStr">
        <is>
          <t>Add Group adds a task group (can be used to define a module)</t>
        </is>
      </c>
    </row>
    <row r="35">
      <c r="B35" s="281" t="inlineStr">
        <is>
          <t>Remove button deletes the current row (which could be an activity, task or task group)</t>
        </is>
      </c>
    </row>
    <row r="36">
      <c r="B36" s="281" t="inlineStr">
        <is>
          <t>Move Up/Down buttons move current row up or down. Rows can cross phases as well.</t>
        </is>
      </c>
    </row>
    <row r="41">
      <c r="B41" s="341" t="inlineStr">
        <is>
          <t>100% Automated Calculations</t>
        </is>
      </c>
      <c r="C41" s="302" t="n"/>
      <c r="D41" s="302" t="n"/>
      <c r="E41" s="302" t="n"/>
      <c r="F41" s="302" t="n"/>
      <c r="G41" s="302" t="n"/>
      <c r="H41" s="302" t="n"/>
      <c r="I41" s="302" t="n"/>
      <c r="J41" s="302" t="n"/>
      <c r="K41" s="302" t="n"/>
      <c r="L41" s="302" t="n"/>
      <c r="M41" s="302" t="n"/>
      <c r="N41" s="302" t="n"/>
      <c r="O41" s="302" t="n"/>
    </row>
    <row r="42">
      <c r="B42" s="302" t="n"/>
      <c r="C42" s="302" t="n"/>
      <c r="D42" s="302" t="n"/>
      <c r="E42" s="302" t="n"/>
      <c r="F42" s="302" t="n"/>
      <c r="G42" s="302" t="n"/>
      <c r="H42" s="302" t="n"/>
      <c r="I42" s="302" t="n"/>
      <c r="J42" s="302" t="n"/>
      <c r="K42" s="302" t="n"/>
      <c r="L42" s="302" t="n"/>
      <c r="M42" s="302" t="n"/>
      <c r="N42" s="302" t="n"/>
      <c r="O42" s="302" t="n"/>
      <c r="AE42" s="281" t="inlineStr">
        <is>
          <t>Activities sum up at task level</t>
        </is>
      </c>
    </row>
    <row r="43">
      <c r="B43" s="281" t="inlineStr">
        <is>
          <t xml:space="preserve">All regular summation and calculations are baked in 100% safe formulae, that cannot </t>
        </is>
      </c>
      <c r="AE43" s="281" t="inlineStr">
        <is>
          <t>Tasks sum up at phase level</t>
        </is>
      </c>
    </row>
    <row r="44">
      <c r="B44" s="281" t="inlineStr">
        <is>
          <t>be overwritten accidently or otherwise; as cells are protected.</t>
        </is>
      </c>
      <c r="AE44" s="281" t="inlineStr">
        <is>
          <t>If task groups are inserted, tasks below a task group sum up at task group level.</t>
        </is>
      </c>
    </row>
    <row r="46">
      <c r="B46" s="281" t="inlineStr">
        <is>
          <t>This also facilitate upto last change reflection in effort, schedule and costing</t>
        </is>
      </c>
      <c r="AE46" s="281" t="inlineStr">
        <is>
          <t>The plase where a new task group is inserted, all tasks below that row untill</t>
        </is>
      </c>
    </row>
    <row r="47">
      <c r="B47" s="281" t="inlineStr">
        <is>
          <t>updates.</t>
        </is>
      </c>
      <c r="AE47" s="281" t="inlineStr">
        <is>
          <t>next task group or till the end of that phase, become part of that task group.</t>
        </is>
      </c>
    </row>
    <row r="49">
      <c r="B49" s="341" t="inlineStr">
        <is>
          <t>Automated Basic Scheduling</t>
        </is>
      </c>
      <c r="C49" s="302" t="n"/>
      <c r="D49" s="302" t="n"/>
      <c r="E49" s="302" t="n"/>
      <c r="F49" s="302" t="n"/>
      <c r="G49" s="302" t="n"/>
      <c r="H49" s="302" t="n"/>
      <c r="I49" s="302" t="n"/>
      <c r="J49" s="302" t="n"/>
      <c r="K49" s="302" t="n"/>
      <c r="L49" s="302" t="n"/>
      <c r="M49" s="302" t="n"/>
      <c r="N49" s="302" t="n"/>
    </row>
    <row r="50">
      <c r="B50" s="302" t="n"/>
      <c r="C50" s="302" t="n"/>
      <c r="D50" s="302" t="n"/>
      <c r="E50" s="302" t="n"/>
      <c r="F50" s="302" t="n"/>
      <c r="G50" s="302" t="n"/>
      <c r="H50" s="302" t="n"/>
      <c r="I50" s="302" t="n"/>
      <c r="J50" s="302" t="n"/>
      <c r="K50" s="302" t="n"/>
      <c r="L50" s="302" t="n"/>
      <c r="M50" s="302" t="n"/>
      <c r="N50" s="302" t="n"/>
    </row>
    <row r="51">
      <c r="B51" s="281" t="inlineStr">
        <is>
          <t>Given a start date and resource loading for each</t>
        </is>
      </c>
    </row>
    <row r="52">
      <c r="B52" s="281" t="inlineStr">
        <is>
          <t>phase, it creates basic schedule automatically.</t>
        </is>
      </c>
    </row>
    <row r="54">
      <c r="B54" s="281" t="inlineStr">
        <is>
          <t>Since focus of this template is not doing</t>
        </is>
      </c>
    </row>
    <row r="55">
      <c r="B55" s="281" t="inlineStr">
        <is>
          <t>optimized scheduling, it integrates with</t>
        </is>
      </c>
    </row>
    <row r="56">
      <c r="B56" s="281" t="inlineStr">
        <is>
          <t xml:space="preserve">possibility of doing manual scheduling </t>
        </is>
      </c>
    </row>
    <row r="57">
      <c r="B57" s="281" t="inlineStr">
        <is>
          <t>as well.</t>
        </is>
      </c>
    </row>
    <row r="71">
      <c r="B71" s="341" t="inlineStr">
        <is>
          <t>Costing Goes Hand-in-Hand</t>
        </is>
      </c>
      <c r="C71" s="302" t="n"/>
      <c r="D71" s="302" t="n"/>
      <c r="E71" s="302" t="n"/>
      <c r="F71" s="302" t="n"/>
      <c r="G71" s="302" t="n"/>
      <c r="H71" s="302" t="n"/>
      <c r="I71" s="302" t="n"/>
      <c r="J71" s="302" t="n"/>
      <c r="K71" s="302" t="n"/>
      <c r="L71" s="302" t="n"/>
      <c r="M71" s="302" t="n"/>
      <c r="N71" s="302" t="n"/>
      <c r="O71" s="302" t="n"/>
      <c r="P71" s="302" t="n"/>
    </row>
    <row r="72">
      <c r="B72" s="302" t="n"/>
      <c r="C72" s="302" t="n"/>
      <c r="D72" s="302" t="n"/>
      <c r="E72" s="302" t="n"/>
      <c r="F72" s="302" t="n"/>
      <c r="G72" s="302" t="n"/>
      <c r="H72" s="302" t="n"/>
      <c r="I72" s="302" t="n"/>
      <c r="J72" s="302" t="n"/>
      <c r="K72" s="302" t="n"/>
      <c r="L72" s="302" t="n"/>
      <c r="M72" s="302" t="n"/>
      <c r="N72" s="302" t="n"/>
      <c r="O72" s="302" t="n"/>
      <c r="P72" s="302" t="n"/>
    </row>
    <row r="73">
      <c r="B73" s="281" t="inlineStr">
        <is>
          <t>Define role wise rates and let it calculate the cost</t>
        </is>
      </c>
    </row>
    <row r="74">
      <c r="B74" s="281" t="inlineStr">
        <is>
          <t>as the estimation happens / changes are applied.</t>
        </is>
      </c>
    </row>
    <row r="75">
      <c r="B75" s="281" t="inlineStr">
        <is>
          <t>Instantly!</t>
        </is>
      </c>
    </row>
    <row r="79">
      <c r="B79" s="281" t="inlineStr">
        <is>
          <t xml:space="preserve">A summary of current cost always shows up </t>
        </is>
      </c>
    </row>
    <row r="80">
      <c r="B80" s="281" t="inlineStr">
        <is>
          <t>on top.</t>
        </is>
      </c>
    </row>
    <row r="83" ht="15" customHeight="1" s="337">
      <c r="BG83" s="285" t="inlineStr">
        <is>
          <t>Graphical Effort Distribution</t>
        </is>
      </c>
      <c r="BH83" s="141" t="n"/>
      <c r="BI83" s="141" t="n"/>
      <c r="BJ83" s="141" t="n"/>
      <c r="BK83" s="141" t="n"/>
      <c r="BL83" s="141" t="n"/>
      <c r="BM83" s="141" t="n"/>
      <c r="BN83" s="141" t="n"/>
      <c r="BO83" s="141" t="n"/>
      <c r="BP83" s="141" t="n"/>
    </row>
    <row r="84" ht="15" customHeight="1" s="337">
      <c r="C84" s="341" t="inlineStr">
        <is>
          <t>Aggregated Effort Per Task</t>
        </is>
      </c>
      <c r="D84" s="302" t="n"/>
      <c r="E84" s="302" t="n"/>
      <c r="F84" s="302" t="n"/>
      <c r="G84" s="302" t="n"/>
      <c r="H84" s="302" t="n"/>
      <c r="I84" s="302" t="n"/>
      <c r="J84" s="302" t="n"/>
      <c r="K84" s="302" t="n"/>
      <c r="L84" s="302" t="n"/>
      <c r="M84" s="302" t="n"/>
      <c r="N84" s="302" t="n"/>
      <c r="O84" s="302" t="n"/>
      <c r="P84" s="302" t="n"/>
      <c r="Q84" s="302" t="n"/>
      <c r="AZ84" s="142" t="n"/>
      <c r="BA84" s="142" t="n"/>
      <c r="BB84" s="142" t="n"/>
      <c r="BC84" s="142" t="n"/>
      <c r="BD84" s="142" t="n"/>
      <c r="BF84" s="142" t="n"/>
      <c r="BG84" s="286" t="inlineStr">
        <is>
          <t>Effort distribution per phase is shown</t>
        </is>
      </c>
      <c r="BH84" s="142" t="n"/>
      <c r="BI84" s="142" t="n"/>
      <c r="BJ84" s="142" t="n"/>
    </row>
    <row r="85" ht="18.5" customHeight="1" s="337">
      <c r="C85" s="302" t="n"/>
      <c r="D85" s="302" t="n"/>
      <c r="E85" s="302" t="n"/>
      <c r="F85" s="302" t="n"/>
      <c r="G85" s="302" t="n"/>
      <c r="H85" s="302" t="n"/>
      <c r="I85" s="302" t="n"/>
      <c r="J85" s="302" t="n"/>
      <c r="K85" s="302" t="n"/>
      <c r="L85" s="302" t="n"/>
      <c r="M85" s="302" t="n"/>
      <c r="N85" s="302" t="n"/>
      <c r="O85" s="302" t="n"/>
      <c r="P85" s="302" t="n"/>
      <c r="Q85" s="302" t="n"/>
      <c r="AY85" s="142" t="n"/>
      <c r="AZ85" s="142" t="n"/>
      <c r="BA85" s="142" t="n"/>
      <c r="BB85" s="142" t="n"/>
      <c r="BC85" s="142" t="n"/>
      <c r="BD85" s="142" t="n"/>
      <c r="BF85" s="142" t="n"/>
      <c r="BG85" s="286" t="inlineStr">
        <is>
          <t>graphically for easy comprehension.</t>
        </is>
      </c>
      <c r="BH85" s="142" t="n"/>
      <c r="BI85" s="142" t="n"/>
      <c r="BJ85" s="142" t="n"/>
      <c r="BK85" s="141" t="n"/>
      <c r="BL85" s="141" t="n"/>
      <c r="BM85" s="141" t="n"/>
      <c r="BN85" s="141" t="n"/>
      <c r="BO85" s="141" t="n"/>
      <c r="BP85" s="141" t="n"/>
      <c r="BQ85" s="141" t="n"/>
    </row>
    <row r="86">
      <c r="C86" s="281" t="inlineStr">
        <is>
          <t>See aggregated effort (including requirement, design, testing, etc., per</t>
        </is>
      </c>
      <c r="BG86" s="141" t="n"/>
      <c r="BH86" s="141" t="n"/>
      <c r="BI86" s="141" t="n"/>
      <c r="BJ86" s="141" t="n"/>
      <c r="BK86" s="141" t="n"/>
      <c r="BL86" s="141" t="n"/>
      <c r="BM86" s="141" t="n"/>
      <c r="BN86" s="141" t="n"/>
      <c r="BO86" s="141" t="n"/>
      <c r="BP86" s="141" t="n"/>
      <c r="BQ86" s="141" t="n"/>
    </row>
    <row r="87">
      <c r="C87" s="281" t="inlineStr">
        <is>
          <t>development task and task group). All automated.</t>
        </is>
      </c>
    </row>
    <row r="93">
      <c r="AE93" s="341" t="inlineStr">
        <is>
          <t>Ability to Add Buffer, Unit Testing, etc. Explicitely</t>
        </is>
      </c>
      <c r="AF93" s="302" t="n"/>
      <c r="AG93" s="302" t="n"/>
      <c r="AH93" s="302" t="n"/>
      <c r="AI93" s="302" t="n"/>
      <c r="AJ93" s="302" t="n"/>
      <c r="AK93" s="302" t="n"/>
      <c r="AL93" s="302" t="n"/>
      <c r="AM93" s="302" t="n"/>
      <c r="AN93" s="302" t="n"/>
      <c r="AO93" s="302" t="n"/>
      <c r="AP93" s="302" t="n"/>
      <c r="AQ93" s="302" t="n"/>
      <c r="AR93" s="302" t="n"/>
      <c r="AS93" s="302" t="n"/>
      <c r="AT93" s="302" t="n"/>
      <c r="AU93" s="302" t="n"/>
      <c r="AV93" s="302" t="n"/>
      <c r="AW93" s="302" t="n"/>
      <c r="AX93" s="302" t="n"/>
      <c r="AY93" s="302" t="n"/>
    </row>
    <row r="94">
      <c r="AE94" s="302" t="n"/>
      <c r="AF94" s="302" t="n"/>
      <c r="AG94" s="302" t="n"/>
      <c r="AH94" s="302" t="n"/>
      <c r="AI94" s="302" t="n"/>
      <c r="AJ94" s="302" t="n"/>
      <c r="AK94" s="302" t="n"/>
      <c r="AL94" s="302" t="n"/>
      <c r="AM94" s="302" t="n"/>
      <c r="AN94" s="302" t="n"/>
      <c r="AO94" s="302" t="n"/>
      <c r="AP94" s="302" t="n"/>
      <c r="AQ94" s="302" t="n"/>
      <c r="AR94" s="302" t="n"/>
      <c r="AS94" s="302" t="n"/>
      <c r="AT94" s="302" t="n"/>
      <c r="AU94" s="302" t="n"/>
      <c r="AV94" s="302" t="n"/>
      <c r="AW94" s="302" t="n"/>
      <c r="AX94" s="302" t="n"/>
      <c r="AY94" s="302" t="n"/>
    </row>
    <row r="95">
      <c r="AE95" s="281" t="inlineStr">
        <is>
          <t xml:space="preserve">Add explicit overheads per task in a collapsable area - outside the WBS, </t>
        </is>
      </c>
    </row>
    <row r="96" ht="15" customHeight="1" s="337">
      <c r="AE96" s="281" t="inlineStr">
        <is>
          <t>to make your choices explicit.</t>
        </is>
      </c>
    </row>
    <row r="97" ht="15" customHeight="1" s="337"/>
    <row r="104">
      <c r="C104" s="341" t="inlineStr">
        <is>
          <t>Sales have the final call!</t>
        </is>
      </c>
      <c r="D104" s="302" t="n"/>
      <c r="E104" s="302" t="n"/>
      <c r="F104" s="302" t="n"/>
      <c r="G104" s="302" t="n"/>
      <c r="H104" s="302" t="n"/>
      <c r="I104" s="302" t="n"/>
      <c r="J104" s="302" t="n"/>
      <c r="K104" s="302" t="n"/>
      <c r="L104" s="302" t="n"/>
      <c r="M104" s="302" t="n"/>
      <c r="N104" s="302" t="n"/>
      <c r="O104" s="302" t="n"/>
      <c r="P104" s="302" t="n"/>
      <c r="Q104" s="302" t="n"/>
      <c r="R104" s="302" t="n"/>
      <c r="S104" s="302" t="n"/>
      <c r="T104" s="302" t="n"/>
      <c r="U104" s="302" t="n"/>
      <c r="V104" s="302" t="n"/>
      <c r="W104" s="302" t="n"/>
    </row>
    <row r="105">
      <c r="C105" s="302" t="n"/>
      <c r="D105" s="302" t="n"/>
      <c r="E105" s="302" t="n"/>
      <c r="F105" s="302" t="n"/>
      <c r="G105" s="302" t="n"/>
      <c r="H105" s="302" t="n"/>
      <c r="I105" s="302" t="n"/>
      <c r="J105" s="302" t="n"/>
      <c r="K105" s="302" t="n"/>
      <c r="L105" s="302" t="n"/>
      <c r="M105" s="302" t="n"/>
      <c r="N105" s="302" t="n"/>
      <c r="O105" s="302" t="n"/>
      <c r="P105" s="302" t="n"/>
      <c r="Q105" s="302" t="n"/>
      <c r="R105" s="302" t="n"/>
      <c r="S105" s="302" t="n"/>
      <c r="T105" s="302" t="n"/>
      <c r="U105" s="302" t="n"/>
      <c r="V105" s="302" t="n"/>
      <c r="W105" s="302" t="n"/>
    </row>
    <row r="111">
      <c r="C111" s="281" t="inlineStr">
        <is>
          <t xml:space="preserve">Increase / Decrease effort all over WBS without breaking the </t>
        </is>
      </c>
    </row>
    <row r="112">
      <c r="C112" s="281" t="inlineStr">
        <is>
          <t xml:space="preserve">technical equilibrium - using given controls. </t>
        </is>
      </c>
    </row>
    <row r="114">
      <c r="C114" s="281" t="inlineStr">
        <is>
          <t>Optinally marked items which are generally good to have</t>
        </is>
      </c>
      <c r="AF114" s="341" t="inlineStr">
        <is>
          <t>Take it to Final Propsal</t>
        </is>
      </c>
      <c r="AG114" s="302" t="n"/>
      <c r="AH114" s="302" t="n"/>
      <c r="AI114" s="302" t="n"/>
      <c r="AJ114" s="302" t="n"/>
      <c r="AK114" s="302" t="n"/>
      <c r="AL114" s="302" t="n"/>
      <c r="AM114" s="302" t="n"/>
      <c r="AN114" s="302" t="n"/>
      <c r="AO114" s="302" t="n"/>
      <c r="AP114" s="302" t="n"/>
      <c r="AQ114" s="302" t="n"/>
      <c r="AR114" s="302" t="n"/>
      <c r="AS114" s="302" t="n"/>
      <c r="AT114" s="302" t="n"/>
      <c r="AU114" s="302" t="n"/>
      <c r="AV114" s="302" t="n"/>
      <c r="AW114" s="302" t="n"/>
      <c r="AX114" s="302" t="n"/>
      <c r="AY114" s="302" t="n"/>
      <c r="AZ114" s="302" t="n"/>
    </row>
    <row r="115">
      <c r="C115" s="281" t="inlineStr">
        <is>
          <t>can be excluded if need be.</t>
        </is>
      </c>
      <c r="AF115" s="302" t="n"/>
      <c r="AG115" s="302" t="n"/>
      <c r="AH115" s="302" t="n"/>
      <c r="AI115" s="302" t="n"/>
      <c r="AJ115" s="302" t="n"/>
      <c r="AK115" s="302" t="n"/>
      <c r="AL115" s="302" t="n"/>
      <c r="AM115" s="302" t="n"/>
      <c r="AN115" s="302" t="n"/>
      <c r="AO115" s="302" t="n"/>
      <c r="AP115" s="302" t="n"/>
      <c r="AQ115" s="302" t="n"/>
      <c r="AR115" s="302" t="n"/>
      <c r="AS115" s="302" t="n"/>
      <c r="AT115" s="302" t="n"/>
      <c r="AU115" s="302" t="n"/>
      <c r="AV115" s="302" t="n"/>
      <c r="AW115" s="302" t="n"/>
      <c r="AX115" s="302" t="n"/>
      <c r="AY115" s="302" t="n"/>
      <c r="AZ115" s="302" t="n"/>
    </row>
    <row r="116">
      <c r="AF116" s="281" t="inlineStr">
        <is>
          <t>On a single click, take the WBS to final propsal as-is without breaking any formatting (as image).</t>
        </is>
      </c>
    </row>
    <row r="117">
      <c r="AF117" s="281" t="inlineStr">
        <is>
          <t>Choose between Full or Compact view (all / selective (predefined) ) colums</t>
        </is>
      </c>
    </row>
    <row r="121">
      <c r="V121" s="341" t="inlineStr">
        <is>
          <t>Informative Edges</t>
        </is>
      </c>
      <c r="W121" s="302" t="n"/>
      <c r="X121" s="302" t="n"/>
      <c r="Y121" s="302" t="n"/>
      <c r="Z121" s="302" t="n"/>
      <c r="AA121" s="302" t="n"/>
      <c r="AB121" s="302" t="n"/>
      <c r="AC121" s="302" t="n"/>
      <c r="AD121" s="302" t="n"/>
      <c r="AE121" s="302" t="n"/>
      <c r="AF121" s="302" t="n"/>
      <c r="AG121" s="302" t="n"/>
      <c r="AH121" s="302" t="n"/>
      <c r="AI121" s="302" t="n"/>
      <c r="AJ121" s="302" t="n"/>
      <c r="AK121" s="302" t="n"/>
      <c r="AL121" s="302" t="n"/>
      <c r="AM121" s="302" t="n"/>
      <c r="AN121" s="302" t="n"/>
      <c r="AO121" s="302" t="n"/>
      <c r="AP121" s="302" t="n"/>
    </row>
    <row r="122">
      <c r="V122" s="302" t="n"/>
      <c r="W122" s="302" t="n"/>
      <c r="X122" s="302" t="n"/>
      <c r="Y122" s="302" t="n"/>
      <c r="Z122" s="302" t="n"/>
      <c r="AA122" s="302" t="n"/>
      <c r="AB122" s="302" t="n"/>
      <c r="AC122" s="302" t="n"/>
      <c r="AD122" s="302" t="n"/>
      <c r="AE122" s="302" t="n"/>
      <c r="AF122" s="302" t="n"/>
      <c r="AG122" s="302" t="n"/>
      <c r="AH122" s="302" t="n"/>
      <c r="AI122" s="302" t="n"/>
      <c r="AJ122" s="302" t="n"/>
      <c r="AK122" s="302" t="n"/>
      <c r="AL122" s="302" t="n"/>
      <c r="AM122" s="302" t="n"/>
      <c r="AN122" s="302" t="n"/>
      <c r="AO122" s="302" t="n"/>
      <c r="AP122" s="302" t="n"/>
    </row>
    <row r="123">
      <c r="S123" s="281" t="inlineStr">
        <is>
          <t>Left edge shows various colored lines to indicate extras; e.g., if item has</t>
        </is>
      </c>
    </row>
    <row r="124">
      <c r="S124" s="281" t="inlineStr">
        <is>
          <t xml:space="preserve">any error, or any effort markup is added (inside collapsable area). </t>
        </is>
      </c>
    </row>
    <row r="126">
      <c r="S126" s="281" t="inlineStr">
        <is>
          <t>Right edge shows the specific error on the line, if any.</t>
        </is>
      </c>
    </row>
    <row r="130">
      <c r="F130" s="341" t="inlineStr">
        <is>
          <t>Full Featured Estimation Area</t>
        </is>
      </c>
      <c r="G130" s="302" t="n"/>
      <c r="H130" s="302" t="n"/>
      <c r="I130" s="302" t="n"/>
      <c r="J130" s="302" t="n"/>
      <c r="K130" s="302" t="n"/>
      <c r="L130" s="302" t="n"/>
      <c r="M130" s="302" t="n"/>
      <c r="N130" s="302" t="n"/>
      <c r="O130" s="302" t="n"/>
      <c r="P130" s="302" t="n"/>
      <c r="Q130" s="302" t="n"/>
      <c r="R130" s="302" t="n"/>
      <c r="S130" s="302" t="n"/>
      <c r="T130" s="302" t="n"/>
      <c r="U130" s="302" t="n"/>
      <c r="V130" s="302" t="n"/>
      <c r="W130" s="302" t="n"/>
      <c r="X130" s="302" t="n"/>
      <c r="Y130" s="302" t="n"/>
      <c r="Z130" s="302" t="n"/>
    </row>
    <row r="131">
      <c r="F131" s="302" t="n"/>
      <c r="G131" s="302" t="n"/>
      <c r="H131" s="302" t="n"/>
      <c r="I131" s="302" t="n"/>
      <c r="J131" s="302" t="n"/>
      <c r="K131" s="302" t="n"/>
      <c r="L131" s="302" t="n"/>
      <c r="M131" s="302" t="n"/>
      <c r="N131" s="302" t="n"/>
      <c r="O131" s="302" t="n"/>
      <c r="P131" s="302" t="n"/>
      <c r="Q131" s="302" t="n"/>
      <c r="R131" s="302" t="n"/>
      <c r="S131" s="302" t="n"/>
      <c r="T131" s="302" t="n"/>
      <c r="U131" s="302" t="n"/>
      <c r="V131" s="302" t="n"/>
      <c r="W131" s="302" t="n"/>
      <c r="X131" s="302" t="n"/>
      <c r="Y131" s="302" t="n"/>
      <c r="Z131" s="302" t="n"/>
    </row>
    <row r="132">
      <c r="F132" s="281" t="inlineStr">
        <is>
          <t>Define Unit name, count and complexity mix. Define effort for 1 medium unit. Rest is calculated. Take final judgement over calculated effort by adding/reducing on it.</t>
        </is>
      </c>
    </row>
    <row r="133">
      <c r="F133" s="281" t="inlineStr">
        <is>
          <t>Extras such as Unit Testing, if chosen, also shows up.</t>
        </is>
      </c>
    </row>
    <row r="143">
      <c r="D143" s="341" t="inlineStr">
        <is>
          <t>In-Place Review Area</t>
        </is>
      </c>
      <c r="E143" s="302" t="n"/>
      <c r="F143" s="302" t="n"/>
      <c r="G143" s="302" t="n"/>
      <c r="H143" s="302" t="n"/>
      <c r="I143" s="302" t="n"/>
      <c r="J143" s="302" t="n"/>
      <c r="K143" s="302" t="n"/>
      <c r="L143" s="302" t="n"/>
      <c r="M143" s="302" t="n"/>
      <c r="N143" s="302" t="n"/>
      <c r="O143" s="302" t="n"/>
      <c r="P143" s="302" t="n"/>
      <c r="Q143" s="302" t="n"/>
      <c r="R143" s="302" t="n"/>
      <c r="S143" s="302" t="n"/>
      <c r="T143" s="302" t="n"/>
      <c r="U143" s="302" t="n"/>
      <c r="V143" s="302" t="n"/>
      <c r="W143" s="302" t="n"/>
      <c r="X143" s="302" t="n"/>
    </row>
    <row r="144">
      <c r="D144" s="302" t="n"/>
      <c r="E144" s="302" t="n"/>
      <c r="F144" s="302" t="n"/>
      <c r="G144" s="302" t="n"/>
      <c r="H144" s="302" t="n"/>
      <c r="I144" s="302" t="n"/>
      <c r="J144" s="302" t="n"/>
      <c r="K144" s="302" t="n"/>
      <c r="L144" s="302" t="n"/>
      <c r="M144" s="302" t="n"/>
      <c r="N144" s="302" t="n"/>
      <c r="O144" s="302" t="n"/>
      <c r="P144" s="302" t="n"/>
      <c r="Q144" s="302" t="n"/>
      <c r="R144" s="302" t="n"/>
      <c r="S144" s="302" t="n"/>
      <c r="T144" s="302" t="n"/>
      <c r="U144" s="302" t="n"/>
      <c r="V144" s="302" t="n"/>
      <c r="W144" s="302" t="n"/>
      <c r="X144" s="302" t="n"/>
    </row>
    <row r="145">
      <c r="D145" s="281" t="inlineStr">
        <is>
          <t>Review comments can be placed right inside the collapsable</t>
        </is>
      </c>
    </row>
    <row r="146">
      <c r="D146" s="281" t="inlineStr">
        <is>
          <t xml:space="preserve">area. </t>
        </is>
      </c>
    </row>
    <row r="148">
      <c r="D148" s="281" t="inlineStr">
        <is>
          <t>A yellow line indicate where all review comments are placed.</t>
        </is>
      </c>
    </row>
    <row r="149">
      <c r="D149" s="281" t="inlineStr">
        <is>
          <t>This is helpful especially when looking with all closed rows.</t>
        </is>
      </c>
    </row>
    <row r="152">
      <c r="D152" s="341" t="inlineStr">
        <is>
          <t>Finally, everything is configurable!</t>
        </is>
      </c>
      <c r="E152" s="302" t="n"/>
      <c r="F152" s="302" t="n"/>
      <c r="G152" s="302" t="n"/>
      <c r="H152" s="302" t="n"/>
      <c r="I152" s="302" t="n"/>
      <c r="J152" s="302" t="n"/>
      <c r="K152" s="302" t="n"/>
      <c r="L152" s="302" t="n"/>
      <c r="M152" s="302" t="n"/>
      <c r="N152" s="302" t="n"/>
      <c r="O152" s="302" t="n"/>
      <c r="P152" s="302" t="n"/>
      <c r="Q152" s="302" t="n"/>
      <c r="R152" s="302" t="n"/>
      <c r="S152" s="302" t="n"/>
      <c r="T152" s="302" t="n"/>
      <c r="U152" s="302" t="n"/>
      <c r="V152" s="302" t="n"/>
      <c r="W152" s="302" t="n"/>
      <c r="X152" s="302" t="n"/>
    </row>
    <row r="153">
      <c r="D153" s="302" t="n"/>
      <c r="E153" s="302" t="n"/>
      <c r="F153" s="302" t="n"/>
      <c r="G153" s="302" t="n"/>
      <c r="H153" s="302" t="n"/>
      <c r="I153" s="302" t="n"/>
      <c r="J153" s="302" t="n"/>
      <c r="K153" s="302" t="n"/>
      <c r="L153" s="302" t="n"/>
      <c r="M153" s="302" t="n"/>
      <c r="N153" s="302" t="n"/>
      <c r="O153" s="302" t="n"/>
      <c r="P153" s="302" t="n"/>
      <c r="Q153" s="302" t="n"/>
      <c r="R153" s="302" t="n"/>
      <c r="S153" s="302" t="n"/>
      <c r="T153" s="302" t="n"/>
      <c r="U153" s="302" t="n"/>
      <c r="V153" s="302" t="n"/>
      <c r="W153" s="302" t="n"/>
      <c r="X153" s="302" t="n"/>
    </row>
    <row r="154">
      <c r="G154" s="281" t="inlineStr">
        <is>
          <t>Use pre-defined names or define your own, if you still get situations where you want to write formulae in your estimation.</t>
        </is>
      </c>
    </row>
  </sheetData>
  <mergeCells count="15">
    <mergeCell ref="C104:W105"/>
    <mergeCell ref="D152:X153"/>
    <mergeCell ref="AL16:BD17"/>
    <mergeCell ref="V121:AP122"/>
    <mergeCell ref="F130:Z131"/>
    <mergeCell ref="D143:X144"/>
    <mergeCell ref="B49:N50"/>
    <mergeCell ref="C84:Q85"/>
    <mergeCell ref="AE93:AY94"/>
    <mergeCell ref="B41:O42"/>
    <mergeCell ref="B71:P72"/>
    <mergeCell ref="B29:O30"/>
    <mergeCell ref="AF114:AZ115"/>
    <mergeCell ref="B13:J14"/>
    <mergeCell ref="H16:V17"/>
  </mergeCells>
  <hyperlinks>
    <hyperlink ref="AV13" location="FAQs!A1" tooltip="Frequently Asked Questions (FAQs)" display="FAQs"/>
    <hyperlink xmlns:r="http://schemas.openxmlformats.org/officeDocument/2006/relationships" ref="AH14" r:id="rId1"/>
  </hyperlinks>
  <pageMargins left="0.7" right="0.7" top="0.75" bottom="0.75" header="0.3" footer="0.3"/>
  <pageSetup orientation="portrait" horizontalDpi="4294967295" verticalDpi="4294967295"/>
  <drawing xmlns:r="http://schemas.openxmlformats.org/officeDocument/2006/relationships" r:id="rId2"/>
</worksheet>
</file>

<file path=xl/worksheets/sheet6.xml><?xml version="1.0" encoding="utf-8"?>
<worksheet xmlns="http://schemas.openxmlformats.org/spreadsheetml/2006/main">
  <sheetPr codeName="Sheet6">
    <tabColor theme="1"/>
    <outlinePr summaryBelow="0" summaryRight="0"/>
    <pageSetUpPr/>
  </sheetPr>
  <dimension ref="B2:AD175"/>
  <sheetViews>
    <sheetView showGridLines="0" showRowColHeaders="0" workbookViewId="0">
      <pane ySplit="2" topLeftCell="A36" activePane="bottomLeft" state="frozenSplit"/>
      <selection pane="bottomLeft" activeCell="Z36" sqref="Z36"/>
    </sheetView>
  </sheetViews>
  <sheetFormatPr baseColWidth="10" defaultColWidth="3.83203125" defaultRowHeight="15"/>
  <cols>
    <col width="2.83203125" customWidth="1" style="337" min="1" max="1"/>
    <col width="4.5" bestFit="1" customWidth="1" style="337" min="2" max="2"/>
  </cols>
  <sheetData>
    <row r="2" ht="28.5" customHeight="1" s="337">
      <c r="B2" s="280">
        <f>TEMPLATE_NAME&amp;" "&amp;TEMPLATE_VER&amp;" - FAQs"</f>
        <v/>
      </c>
    </row>
    <row r="4" ht="18.5" customHeight="1" s="337">
      <c r="B4" s="287" t="inlineStr">
        <is>
          <t>FOR ARCHITECTS</t>
        </is>
      </c>
    </row>
    <row r="6" ht="21" customFormat="1" customHeight="1" s="149">
      <c r="B6" s="288" t="n">
        <v>1</v>
      </c>
      <c r="C6" s="288" t="inlineStr">
        <is>
          <t>Where do I define the RFP Name, Client Name, etc.?</t>
        </is>
      </c>
    </row>
    <row r="7">
      <c r="D7" s="302" t="inlineStr">
        <is>
          <t>Open "Estimation Support Settings" section and you will see a lot of configuration options where you can define these. It will be updated automatically in a pre-defined</t>
        </is>
      </c>
    </row>
    <row r="8">
      <c r="D8" s="302" t="inlineStr">
        <is>
          <t>format.</t>
        </is>
      </c>
    </row>
    <row r="10" ht="21" customFormat="1" customHeight="1" s="149">
      <c r="B10" s="288" t="n">
        <v>2</v>
      </c>
      <c r="C10" s="288" t="inlineStr">
        <is>
          <t>It does not allow to insert a row. How do I add a row?</t>
        </is>
      </c>
    </row>
    <row r="11">
      <c r="D11" s="302" t="inlineStr">
        <is>
          <t>Yes, the sheets are protected to ensure sanity of formulae. It allows adding Tasks and Activities using provided command buttons. Use Add Before, Add After or Add Group</t>
        </is>
      </c>
    </row>
    <row r="12">
      <c r="D12" s="302" t="inlineStr">
        <is>
          <t>to add task, activities or task groups.</t>
        </is>
      </c>
    </row>
    <row r="14" ht="21" customFormat="1" customHeight="1" s="149">
      <c r="B14" s="288" t="n">
        <v>3</v>
      </c>
      <c r="C14" s="288" t="inlineStr">
        <is>
          <t>How to delete a row?</t>
        </is>
      </c>
    </row>
    <row r="15">
      <c r="D15" s="302" t="inlineStr">
        <is>
          <t>Use provided Remove button to remove currently selected row.</t>
        </is>
      </c>
    </row>
    <row r="17" ht="21" customFormat="1" customHeight="1" s="149">
      <c r="B17" s="288" t="n">
        <v>4</v>
      </c>
      <c r="C17" s="288" t="inlineStr">
        <is>
          <t>It only supports two level of groupings, I need three or more levels.</t>
        </is>
      </c>
    </row>
    <row r="18">
      <c r="D18" s="302" t="inlineStr">
        <is>
          <t>For sake of consistency across estimates, it allows only two collapsable levels of grouping. Yet it supports a logical non-collapsable third level called a Task group.</t>
        </is>
      </c>
    </row>
    <row r="19">
      <c r="D19" s="302" t="inlineStr">
        <is>
          <t>A task group can be added above any task using Ctrl+Shift+G. A task group is intelligent to assume all tasks, till the next task group  or end of section, under it.</t>
        </is>
      </c>
    </row>
    <row r="20">
      <c r="D20" s="302" t="inlineStr">
        <is>
          <t>This affects the summation of the task group effort.</t>
        </is>
      </c>
    </row>
    <row r="22" ht="21" customFormat="1" customHeight="1" s="149">
      <c r="B22" s="288" t="n">
        <v>5</v>
      </c>
      <c r="C22" s="288" t="inlineStr">
        <is>
          <t>It does not allow copy/paste of rows. How do I move one row elsewhere?</t>
        </is>
      </c>
    </row>
    <row r="23">
      <c r="D23" s="302" t="inlineStr">
        <is>
          <t>Since sheet is protected for discussed reasons, it does not allow copy/paste of rows.</t>
        </is>
      </c>
    </row>
    <row r="24">
      <c r="D24" s="302" t="inlineStr">
        <is>
          <t>But it gives an easy way for moving tasks, activities and even task groups. Use Move Up or Move Down command buttons to move rows up or down.</t>
        </is>
      </c>
    </row>
    <row r="25">
      <c r="D25" s="302" t="inlineStr">
        <is>
          <t>This means, activities can be moved in another task and even in another phase. Task groups can also move up or down and therefore be parent of a different set of tasks.</t>
        </is>
      </c>
    </row>
    <row r="27" ht="21" customFormat="1" customHeight="1" s="149">
      <c r="B27" s="288" t="n">
        <v>6</v>
      </c>
      <c r="C27" s="288" t="inlineStr">
        <is>
          <t>I want to add a new section / phase?</t>
        </is>
      </c>
    </row>
    <row r="28">
      <c r="D28" s="302" t="inlineStr">
        <is>
          <t>This supports only 6 phases. You can rename them as required. However if you really need 7th; you need to use a different template.</t>
        </is>
      </c>
    </row>
    <row r="30" ht="21" customFormat="1" customHeight="1" s="149">
      <c r="B30" s="288" t="n">
        <v>7</v>
      </c>
      <c r="C30" s="288" t="inlineStr">
        <is>
          <t>It does not allow adding effort details for a task. Where do I put effort estimates?</t>
        </is>
      </c>
    </row>
    <row r="31">
      <c r="D31" s="302" t="inlineStr">
        <is>
          <t>Effort estimates can be added only to an activity. A task is always a collection of activities. At minimum there will be one activity in one task.</t>
        </is>
      </c>
    </row>
    <row r="33" ht="21" customFormat="1" customHeight="1" s="149">
      <c r="B33" s="288" t="n">
        <v>8</v>
      </c>
      <c r="C33" s="288" t="inlineStr">
        <is>
          <t>Certain rows do not get numbered automatically. Is this by design?</t>
        </is>
      </c>
    </row>
    <row r="34">
      <c r="D34" s="302" t="inlineStr">
        <is>
          <t>Yes, sections  and Task groups are not numbered automatically for various reasons and should be typed in manually as required.</t>
        </is>
      </c>
    </row>
    <row r="35">
      <c r="D35" s="302" t="inlineStr">
        <is>
          <t>For all other rows, numbers are generated and updated (on move, inserts, deletion) automatically.</t>
        </is>
      </c>
    </row>
    <row r="37" ht="21" customFormat="1" customHeight="1" s="149">
      <c r="B37" s="288" t="n">
        <v>9</v>
      </c>
      <c r="C37" s="288" t="inlineStr">
        <is>
          <t>What each column mean and what I am supposed to write where?</t>
        </is>
      </c>
    </row>
    <row r="38">
      <c r="D38" s="302" t="inlineStr">
        <is>
          <t>There are following columns and what each column mean:</t>
        </is>
      </c>
    </row>
    <row r="39">
      <c r="F39" s="289" t="inlineStr">
        <is>
          <t>Number:</t>
        </is>
      </c>
      <c r="G39" s="302" t="inlineStr">
        <is>
          <t>This area is semi-editable and shows the section, task group, task and/or activity number. Numbers of only section and task group rows can be edited.</t>
        </is>
      </c>
    </row>
    <row r="40">
      <c r="F40" s="289" t="inlineStr">
        <is>
          <t>Tasks:</t>
        </is>
      </c>
      <c r="G40" s="302" t="inlineStr">
        <is>
          <t>This area is editable and should define section name, task group name, task name or activity name, as the case may be. An activity can optionally have bullets for scope.</t>
        </is>
      </c>
    </row>
    <row r="41">
      <c r="F41" s="289" t="inlineStr">
        <is>
          <t>RFP Mapping:</t>
        </is>
      </c>
      <c r="G41" s="302" t="inlineStr">
        <is>
          <t>Mapping with requirement document if any can be defined here.</t>
        </is>
      </c>
    </row>
    <row r="42">
      <c r="F42" s="289" t="inlineStr">
        <is>
          <t>Unit:</t>
        </is>
      </c>
      <c r="G42" s="302" t="inlineStr">
        <is>
          <t>Unit section is to define unit of activity estimation.</t>
        </is>
      </c>
    </row>
    <row r="43">
      <c r="G43" s="289" t="inlineStr">
        <is>
          <t>Name:</t>
        </is>
      </c>
      <c r="H43" s="302" t="inlineStr">
        <is>
          <t>Define a unit name here, e.g., Screen, Test Case, Report, % of X, etc.</t>
        </is>
      </c>
    </row>
    <row r="44">
      <c r="G44" s="289" t="inlineStr">
        <is>
          <t>#:</t>
        </is>
      </c>
      <c r="H44" s="302" t="inlineStr">
        <is>
          <t>Define the number that represents the unit. If number is a % value, still define it as number. Add % in forumula, if required elsewhere.</t>
        </is>
      </c>
    </row>
    <row r="45">
      <c r="G45" s="270" t="inlineStr">
        <is>
          <t>x N:</t>
        </is>
      </c>
      <c r="H45" s="302" t="inlineStr">
        <is>
          <t>Define how many cycles/set of Unit * Number are required. Generally this will be required only in few cases</t>
        </is>
      </c>
    </row>
    <row r="46">
      <c r="I46" s="302" t="inlineStr">
        <is>
          <t>E.g., 3 Staging Releases where 5% of Dev time is required everytime, or 5 Screens to be tested on 7 Browsers</t>
        </is>
      </c>
    </row>
    <row r="47">
      <c r="G47" s="289" t="inlineStr">
        <is>
          <t>Complexity %:</t>
        </is>
      </c>
      <c r="H47" s="302" t="inlineStr">
        <is>
          <t xml:space="preserve">There are three columns to define the complexity mix of the number that is defined in '#' column. </t>
        </is>
      </c>
    </row>
    <row r="48">
      <c r="I48" s="302" t="inlineStr">
        <is>
          <t>E.g., If 20 Use Cases are defined, it's possible that we are assuming 25% as High, 50% as Medium and remaining 25% as Low</t>
        </is>
      </c>
    </row>
    <row r="49">
      <c r="G49" s="289" t="inlineStr">
        <is>
          <t>Effort (PDs):</t>
        </is>
      </c>
      <c r="H49" s="302" t="inlineStr">
        <is>
          <t>This area represents calculated and worked-up effort estimate in PDs. This is NON-EDITABLE.</t>
        </is>
      </c>
    </row>
    <row r="50">
      <c r="D50" s="344" t="inlineStr">
        <is>
          <t>Out of scope / Assumptions:</t>
        </is>
      </c>
      <c r="E50" s="302" t="n"/>
      <c r="F50" s="302" t="n"/>
      <c r="G50" s="302" t="n"/>
      <c r="H50" s="302" t="inlineStr">
        <is>
          <t>This column lets you define any out of scope activities related to specific task, and relevant assumptions related to specific activity.</t>
        </is>
      </c>
    </row>
    <row r="51">
      <c r="D51" s="302" t="n"/>
      <c r="E51" s="302" t="n"/>
      <c r="F51" s="302" t="n"/>
      <c r="G51" s="302" t="n"/>
    </row>
    <row r="52">
      <c r="D52" s="302" t="n"/>
      <c r="E52" s="302" t="n"/>
      <c r="F52" s="302" t="n"/>
      <c r="G52" s="302" t="n"/>
    </row>
    <row r="54" ht="21" customFormat="1" customHeight="1" s="149">
      <c r="B54" s="288" t="n">
        <v>10</v>
      </c>
      <c r="C54" s="288" t="inlineStr">
        <is>
          <t>Where do I put in effort estimates?</t>
        </is>
      </c>
    </row>
    <row r="55">
      <c r="D55" s="302" t="inlineStr">
        <is>
          <t>Open the columns group using + symbol under "W" column.</t>
        </is>
      </c>
    </row>
    <row r="56">
      <c r="D56" s="302" t="inlineStr">
        <is>
          <t>Following columns are visible now where you can work-out estimates for the activity. The details of each of these columns are:</t>
        </is>
      </c>
    </row>
    <row r="57">
      <c r="F57" s="289" t="inlineStr">
        <is>
          <t>PDs / 1 Unit:</t>
        </is>
      </c>
      <c r="G57" s="302" t="inlineStr">
        <is>
          <t>This is where you should define how many PDs would it take to complete 1 Medium Complexity Unit of activity.</t>
        </is>
      </c>
    </row>
    <row r="58">
      <c r="H58" s="302" t="inlineStr">
        <is>
          <t>E.g., If Unit was "Use Case", # was "20", Complexity Mix was H: 25%, M: 50%, L: 25%, if we define PDs / 1 Unit - it means the total effort for this acitivity would be:</t>
        </is>
      </c>
    </row>
    <row r="59">
      <c r="I59" s="302" t="inlineStr">
        <is>
          <t>M: 50% of 20 = 10</t>
        </is>
      </c>
      <c r="N59" s="302" t="inlineStr">
        <is>
          <t>10 X 1 = 10 PDs</t>
        </is>
      </c>
    </row>
    <row r="60">
      <c r="I60" s="302" t="inlineStr">
        <is>
          <t>H: 25% of 20 = 5</t>
        </is>
      </c>
      <c r="N60" s="302" t="inlineStr">
        <is>
          <t>5 X 1.5 = 7.5 PDs</t>
        </is>
      </c>
      <c r="T60" s="302" t="inlineStr">
        <is>
          <t>(more on this later in next FAQ)</t>
        </is>
      </c>
    </row>
    <row r="61">
      <c r="I61" s="302" t="inlineStr">
        <is>
          <t>L: 25% of 20 = 5</t>
        </is>
      </c>
      <c r="N61" s="302" t="inlineStr">
        <is>
          <t>5 X .75 = 3.75 PDs</t>
        </is>
      </c>
      <c r="T61" s="302" t="inlineStr">
        <is>
          <t>(more on this later in next FAQ)</t>
        </is>
      </c>
    </row>
    <row r="62">
      <c r="N62" s="302" t="inlineStr">
        <is>
          <t>21 PDs</t>
        </is>
      </c>
    </row>
    <row r="63">
      <c r="F63" s="289" t="inlineStr">
        <is>
          <t>Calculated:</t>
        </is>
      </c>
      <c r="G63" s="302" t="inlineStr">
        <is>
          <t>This shows calculated effort based on given unit and unit-effort details. This is NON-EDITABLE.</t>
        </is>
      </c>
    </row>
    <row r="64">
      <c r="F64" s="289" t="inlineStr">
        <is>
          <t>(+/-):</t>
        </is>
      </c>
      <c r="G64" s="302" t="inlineStr">
        <is>
          <t>Basic calculation based on given unit and size is done here; however for real judgement you can ADD or SUBTRACT any figure here.</t>
        </is>
      </c>
    </row>
    <row r="65">
      <c r="H65" s="302" t="inlineStr">
        <is>
          <t>E.g., -2 in this column will make final effort to be used as 19 PDs instead of 21 PDs.</t>
        </is>
      </c>
    </row>
    <row r="66">
      <c r="I66" s="302" t="inlineStr">
        <is>
          <t>4 in this column will make final effort to be used as 25 PDs instead of 21 PDs.</t>
        </is>
      </c>
    </row>
    <row r="67">
      <c r="G67" s="302" t="inlineStr">
        <is>
          <t>This gives you finer control on estimation - which otherwise you would have (in unprotected / no-formula) sheet</t>
        </is>
      </c>
    </row>
    <row r="68">
      <c r="F68" s="289" t="inlineStr">
        <is>
          <t>w Extras:</t>
        </is>
      </c>
      <c r="G68" s="302" t="inlineStr">
        <is>
          <t>This shows additionally added effort based on choices made for rows. This is NON-EDITABLE.</t>
        </is>
      </c>
      <c r="AD68" s="302" t="inlineStr">
        <is>
          <t>(more on this later in next FAQ)</t>
        </is>
      </c>
    </row>
    <row r="69">
      <c r="H69" s="302" t="inlineStr">
        <is>
          <t>This effort is added on +/- adjusted (calculated) effort.</t>
        </is>
      </c>
    </row>
    <row r="71" ht="21" customFormat="1" customHeight="1" s="149">
      <c r="B71" s="288" t="n">
        <v>11</v>
      </c>
      <c r="C71" s="288" t="inlineStr">
        <is>
          <t>I define effort for Medium complexity activity. How does effort for High and Low complexity activities are calculated?</t>
        </is>
      </c>
    </row>
    <row r="72">
      <c r="D72" s="302" t="inlineStr">
        <is>
          <t>This is configurable under "Estimation Support Settings -&gt; Complexity Impact" section.</t>
        </is>
      </c>
    </row>
    <row r="73">
      <c r="D73" s="302" t="inlineStr">
        <is>
          <t>Default values are set to assume 50% more effort for a high complexity activity as compared to medium complexity one; and 25% less effort when it is low complexity acitivity.</t>
        </is>
      </c>
    </row>
    <row r="74">
      <c r="D74" s="302" t="inlineStr">
        <is>
          <t>Generally you would not change it - but this is very much available for any change.</t>
        </is>
      </c>
    </row>
    <row r="76" ht="21" customFormat="1" customHeight="1" s="149">
      <c r="B76" s="288" t="n">
        <v>12</v>
      </c>
      <c r="C76" s="288" t="inlineStr">
        <is>
          <t>What Extras are available to add to estimates?</t>
        </is>
      </c>
    </row>
    <row r="77">
      <c r="D77" s="302" t="inlineStr">
        <is>
          <t>Open the "Choices and Notes" section in extreme left using "&lt;--" or "+" under "F" column.</t>
        </is>
      </c>
    </row>
    <row r="78">
      <c r="D78" s="302" t="inlineStr">
        <is>
          <t>It shows following columns:</t>
        </is>
      </c>
    </row>
    <row r="79">
      <c r="E79" s="289" t="inlineStr">
        <is>
          <t>Add Buffer:</t>
        </is>
      </c>
      <c r="F79" s="302" t="inlineStr">
        <is>
          <t>It gives three choices Low, Medium and High. Selecting any one, will add certain % of buffer in the final effort shown.</t>
        </is>
      </c>
    </row>
    <row r="80">
      <c r="G80" s="302" t="inlineStr">
        <is>
          <t>Calculated effort will not be impacted. This value is added on final effort (including any Extras effort).</t>
        </is>
      </c>
    </row>
    <row r="81">
      <c r="G81" s="302" t="inlineStr">
        <is>
          <t>Again, these Low, Medium and High % values are configurable under "Estimation Support Settings --&gt; Buffer Types" section.</t>
        </is>
      </c>
    </row>
    <row r="82">
      <c r="E82" s="289" t="inlineStr">
        <is>
          <t>Extras:</t>
        </is>
      </c>
      <c r="F82" s="302" t="inlineStr">
        <is>
          <t>This shows choices like Unit Testing, Unknowns, etc. These values (names) and associated % values are configurable under "Estimation Support Settings - Extras" section.</t>
        </is>
      </c>
    </row>
    <row r="83">
      <c r="G83" s="302" t="inlineStr">
        <is>
          <t>This effort is added on top of calculated effort which might have reduced using -N value.</t>
        </is>
      </c>
    </row>
    <row r="85" ht="21" customFormat="1" customHeight="1" s="149">
      <c r="B85" s="288" t="n">
        <v>13</v>
      </c>
      <c r="C85" s="288" t="inlineStr">
        <is>
          <t>There are few more columns in Choices and Notes section. What are these?</t>
        </is>
      </c>
    </row>
    <row r="86">
      <c r="D86" s="302" t="inlineStr">
        <is>
          <t>Yes, there are few more. These are:</t>
        </is>
      </c>
    </row>
    <row r="87">
      <c r="E87" s="289" t="inlineStr">
        <is>
          <t>Mark as Optional:</t>
        </is>
      </c>
      <c r="F87" s="302" t="inlineStr">
        <is>
          <t>At times we need to include certain tasks which are not part of the given requirements but are advisable to have.</t>
        </is>
      </c>
    </row>
    <row r="88">
      <c r="E88" s="144" t="n"/>
      <c r="F88" s="302" t="inlineStr">
        <is>
          <t>It was a problem, because if we add those, estimates used to go high and if we don't add them we were assumed to have not thought of those.</t>
        </is>
      </c>
    </row>
    <row r="89">
      <c r="E89" s="144" t="n"/>
      <c r="F89" s="302" t="inlineStr">
        <is>
          <t>Not anymore. Now all such "seemingly-out-of-scope-but-recommended-to-have" type of tasks can be added and marked as optional by choosing "Yes" in this column.</t>
        </is>
      </c>
    </row>
    <row r="90">
      <c r="E90" s="144" t="n"/>
      <c r="F90" s="302" t="inlineStr">
        <is>
          <t>This ensures that we do cover everything. At the same time, Sales can make a informative judgements without breaking overall sanity of the estimation / wbs.</t>
        </is>
      </c>
    </row>
    <row r="91">
      <c r="E91" s="144" t="n"/>
      <c r="F91" s="302" t="inlineStr">
        <is>
          <t>Sales has a top level "Optionals: Include/Exclude" choice which includes or excludes all optionally marked activities.</t>
        </is>
      </c>
    </row>
    <row r="92">
      <c r="E92" s="289" t="inlineStr">
        <is>
          <t>Exclude:</t>
        </is>
      </c>
      <c r="F92" s="302" t="inlineStr">
        <is>
          <t>To exclude a specific optional / non-optional activity, choose 'Yes" for this column and it will be marked as excluded.</t>
        </is>
      </c>
    </row>
    <row r="93">
      <c r="E93" s="144" t="n"/>
      <c r="F93" s="302" t="inlineStr">
        <is>
          <t>All excluded rows *do not* get added in total effort, schedule or cost.</t>
        </is>
      </c>
    </row>
    <row r="94">
      <c r="E94" s="289" t="inlineStr">
        <is>
          <t>Notes:</t>
        </is>
      </c>
      <c r="F94" s="302" t="inlineStr">
        <is>
          <t>While iterating over estimate, while reviewing etc. This column comes handy and allows writing any sort of notes for the in-progress version of the document.</t>
        </is>
      </c>
    </row>
    <row r="96" ht="21" customFormat="1" customHeight="1" s="149">
      <c r="B96" s="288" t="n">
        <v>14</v>
      </c>
      <c r="C96" s="288" t="inlineStr">
        <is>
          <t>At times, it shows some colored lines on extreme left - what does these mean?</t>
        </is>
      </c>
    </row>
    <row r="97">
      <c r="D97" s="302" t="inlineStr">
        <is>
          <t>Yes, it shows following colored lines:</t>
        </is>
      </c>
    </row>
    <row r="98">
      <c r="E98" s="289" t="inlineStr">
        <is>
          <t>Red:</t>
        </is>
      </c>
      <c r="F98" s="302" t="inlineStr">
        <is>
          <t>Depicts that either there is some error on this line, or the activity is excluded. Check out the error details on extreme right column.</t>
        </is>
      </c>
    </row>
    <row r="99">
      <c r="E99" s="289" t="inlineStr">
        <is>
          <t>Orange:</t>
        </is>
      </c>
      <c r="F99" s="302" t="inlineStr">
        <is>
          <t>Depicts that activity is marked as optional.</t>
        </is>
      </c>
    </row>
    <row r="100">
      <c r="E100" s="289" t="inlineStr">
        <is>
          <t>Blue:</t>
        </is>
      </c>
      <c r="F100" s="302" t="inlineStr">
        <is>
          <t>Marks that "Buffer" is added.</t>
        </is>
      </c>
    </row>
    <row r="101">
      <c r="E101" s="289" t="inlineStr">
        <is>
          <t>Magenta:</t>
        </is>
      </c>
      <c r="F101" s="302" t="inlineStr">
        <is>
          <t>Marks that "Extras" is added.</t>
        </is>
      </c>
    </row>
    <row r="102">
      <c r="E102" s="289" t="inlineStr">
        <is>
          <t>Yellow:</t>
        </is>
      </c>
      <c r="F102" s="302" t="inlineStr">
        <is>
          <t>Depicts that some notes / review comments exists on this line.</t>
        </is>
      </c>
    </row>
    <row r="104" ht="21" customFormat="1" customHeight="1" s="149">
      <c r="B104" s="288" t="n">
        <v>15</v>
      </c>
      <c r="C104" s="288" t="inlineStr">
        <is>
          <t>Calculated effort is showing less / more effort than calculated one. I have not even added any extras or buffer. Why?</t>
        </is>
      </c>
    </row>
    <row r="105">
      <c r="D105" s="302" t="inlineStr">
        <is>
          <t xml:space="preserve">There is a "Sales Call Scale" on top which lets Sales to increase/reduce effort per activity level all at once. </t>
        </is>
      </c>
    </row>
    <row r="106">
      <c r="D106" s="302" t="inlineStr">
        <is>
          <t>Ensure that selection is set to "No Change". Thereafter there should not be any seemingly incorrect effort.</t>
        </is>
      </c>
    </row>
    <row r="108" ht="21" customFormat="1" customHeight="1" s="149">
      <c r="B108" s="288" t="n">
        <v>16</v>
      </c>
      <c r="C108" s="288" t="inlineStr">
        <is>
          <t>I have to calculate some effort based on total development effort. How do I do that?</t>
        </is>
      </c>
    </row>
    <row r="109">
      <c r="D109" s="302" t="inlineStr">
        <is>
          <t>There are special names that can be used in your own formule. All these names are written in "Estimation Support Settings" section.</t>
        </is>
      </c>
    </row>
    <row r="110">
      <c r="D110" s="302" t="inlineStr">
        <is>
          <t>There are some special names as well, e.g., "As Dev Effort %", this can be used in "Unit Name" columm and "#" column can define the "%" value (as number).</t>
        </is>
      </c>
    </row>
    <row r="111">
      <c r="D111" s="302" t="inlineStr">
        <is>
          <t>This will automatically put the effort as #% of Development Effort.</t>
        </is>
      </c>
    </row>
    <row r="114" ht="18.5" customHeight="1" s="337">
      <c r="B114" s="287" t="inlineStr">
        <is>
          <t>FOR PRESALES / MMs</t>
        </is>
      </c>
    </row>
    <row r="116" ht="21" customFormat="1" customHeight="1" s="149">
      <c r="B116" s="290" t="n">
        <v>17</v>
      </c>
      <c r="C116" s="290" t="inlineStr">
        <is>
          <t>I want to configure automated scheduling for better. How do I do that?</t>
        </is>
      </c>
    </row>
    <row r="117">
      <c r="D117" s="302" t="inlineStr">
        <is>
          <t>Automated scheduling works based on following three:</t>
        </is>
      </c>
    </row>
    <row r="118">
      <c r="E118" s="302" t="inlineStr">
        <is>
          <t>Role wise distribution / phase: Define a % value for each role. Not all roles will be involved in each phases. This is a generic and average figure.</t>
        </is>
      </c>
    </row>
    <row r="119">
      <c r="E119" s="302" t="inlineStr">
        <is>
          <t>Role wise resource count / phase: Define number of resources that should be put in each phase for each role. This is again an average value.</t>
        </is>
      </c>
    </row>
    <row r="120">
      <c r="E120" s="302" t="inlineStr">
        <is>
          <t>Start next phase after %: This brings in some parrallism, by defining when to start next phase in relation of previous phase completion %.</t>
        </is>
      </c>
    </row>
    <row r="121" customFormat="1" s="150">
      <c r="F121" s="302" t="inlineStr">
        <is>
          <t>E.g., start designing phase after 75% of requirement phase is done.</t>
        </is>
      </c>
    </row>
    <row r="122" customFormat="1" s="150"/>
    <row r="123" customFormat="1" s="150">
      <c r="E123" s="302" t="inlineStr">
        <is>
          <t>By playing around with these numbers, and optimizing these values, automated scheduling can be configured for better. However please note:</t>
        </is>
      </c>
    </row>
    <row r="124" customFormat="1" s="150">
      <c r="F124" s="302" t="inlineStr">
        <is>
          <t>Automated scheduling does not do fully-optimized parallel execution / resource loading.</t>
        </is>
      </c>
    </row>
    <row r="125" customFormat="1" s="150">
      <c r="F125" s="302" t="inlineStr">
        <is>
          <t xml:space="preserve">It should be used to get a tentative idea of end date. </t>
        </is>
      </c>
    </row>
    <row r="126">
      <c r="F126" s="302" t="inlineStr">
        <is>
          <t>Manual scheduling will always give better visibility of end date.</t>
        </is>
      </c>
    </row>
    <row r="128" ht="21" customFormat="1" customHeight="1" s="149">
      <c r="B128" s="290" t="n">
        <v>18</v>
      </c>
      <c r="C128" s="290" t="inlineStr">
        <is>
          <t>I have done manual scheduling - but the project management effort is not updated as per new schedule duration. Why?</t>
        </is>
      </c>
    </row>
    <row r="129">
      <c r="D129" s="302" t="inlineStr">
        <is>
          <t>Project Management Activity is generally added in Others section with "As Duration %" unit name and "#" as project manager's expected allocation % number.</t>
        </is>
      </c>
    </row>
    <row r="130">
      <c r="D130" s="302" t="inlineStr">
        <is>
          <t>This takes the defined "Start Date" and defined "End Date" on "Schedule" sheet in consideration to get the duration of the project. And uses the defined % of</t>
        </is>
      </c>
    </row>
    <row r="131">
      <c r="D131" s="302" t="inlineStr">
        <is>
          <t xml:space="preserve">calculated net working days between these two dates. </t>
        </is>
      </c>
    </row>
    <row r="132">
      <c r="D132" s="302" t="inlineStr">
        <is>
          <t>So if any of the above is not done, this will not calculate well. Fix the missing piece and it will work.</t>
        </is>
      </c>
    </row>
    <row r="134" ht="21" customFormat="1" customHeight="1" s="149">
      <c r="B134" s="290" t="n">
        <v>19</v>
      </c>
      <c r="C134" s="290" t="inlineStr">
        <is>
          <t>I want to update rates for correct cost calculation. Where do I do that?</t>
        </is>
      </c>
    </row>
    <row r="135">
      <c r="D135" s="302" t="inlineStr">
        <is>
          <t>Open "Price and Basic Scheduling" section and look for "Role wise Rates" section where you can update these rates. Updating these rates, updates all costing automatically.</t>
        </is>
      </c>
    </row>
    <row r="137" ht="21" customFormat="1" customHeight="1" s="149">
      <c r="B137" s="290" t="n">
        <v>20</v>
      </c>
      <c r="C137" s="290" t="inlineStr">
        <is>
          <t>It is showing currency as USD only. How do I change currency?</t>
        </is>
      </c>
    </row>
    <row r="138">
      <c r="D138" s="302" t="inlineStr">
        <is>
          <t>"Estimation Support Settings" section has "Currency" dropdown to choose currency.</t>
        </is>
      </c>
    </row>
    <row r="140" ht="21" customFormat="1" customHeight="1" s="149">
      <c r="B140" s="290" t="n">
        <v>21</v>
      </c>
      <c r="C140" s="290" t="inlineStr">
        <is>
          <t>I want to take the WBS summary in final proposal document. How do I do that?</t>
        </is>
      </c>
    </row>
    <row r="141">
      <c r="D141" s="302" t="inlineStr">
        <is>
          <t>For WBS Summary, goto "Functional Breakdown Summary" section and refresh the list. This shows the list of all task groups and tasks with cumulative effort and cost</t>
        </is>
      </c>
    </row>
    <row r="142">
      <c r="D142" s="302" t="inlineStr">
        <is>
          <t>of all phases. This can directly be copied/pasted in final proposal.</t>
        </is>
      </c>
    </row>
    <row r="144" ht="21" customFormat="1" customHeight="1" s="149">
      <c r="B144" s="290" t="n">
        <v>22</v>
      </c>
      <c r="C144" s="290" t="inlineStr">
        <is>
          <t>I want to take full WBS in final proposal document. How do I do that?</t>
        </is>
      </c>
    </row>
    <row r="145">
      <c r="D145" s="302" t="inlineStr">
        <is>
          <t>For whole of WBS, if you would copy/paste as is, you would need to do certain amount of formatting, as there are several intersparsed thin and empty rows in here.</t>
        </is>
      </c>
    </row>
    <row r="146">
      <c r="D146" s="302" t="inlineStr">
        <is>
          <t>To make it simple and ensure formatting does not break, it provides an image copy option. There are two modes available: Full and Compact which picks different</t>
        </is>
      </c>
    </row>
    <row r="147">
      <c r="D147" s="302" t="inlineStr">
        <is>
          <t xml:space="preserve">set of columns. This will copy entire WBS as one single image. In final proposal, you might need to paste it on few pages and crop-show only relevant areas. </t>
        </is>
      </c>
    </row>
    <row r="148">
      <c r="D148" s="302" t="inlineStr">
        <is>
          <t>For proposal, generally the Compact view would be suitable.</t>
        </is>
      </c>
    </row>
    <row r="151" ht="18.5" customHeight="1" s="337">
      <c r="B151" s="287" t="inlineStr">
        <is>
          <t>FOR SALES</t>
        </is>
      </c>
    </row>
    <row r="153" ht="21" customFormat="1" customHeight="1" s="149">
      <c r="B153" s="291" t="n">
        <v>23</v>
      </c>
      <c r="C153" s="291" t="inlineStr">
        <is>
          <t>I want to squeeze the effort to bare minimum. How do I do that?</t>
        </is>
      </c>
    </row>
    <row r="154">
      <c r="D154" s="302" t="inlineStr">
        <is>
          <t>Effort that we do generally have some buffer built into it, either explicitely (in buffer column) or otherwise.</t>
        </is>
      </c>
    </row>
    <row r="155">
      <c r="D155" s="302" t="inlineStr">
        <is>
          <t>To remove the buffer, it is recommended that Sales Call scale should be set to "Minimize". This applies the reduction in all tasks on a predefined % that was set</t>
        </is>
      </c>
    </row>
    <row r="156">
      <c r="D156" s="302" t="inlineStr">
        <is>
          <t>by the person who did the estimation; keeeping the complexity in mind.</t>
        </is>
      </c>
    </row>
    <row r="157">
      <c r="D157" s="302" t="inlineStr">
        <is>
          <t>To increase the effort to maximum possible, set the scale to "Maximize" which increases it to maximum justifiable level.</t>
        </is>
      </c>
    </row>
    <row r="159" ht="21" customFormat="1" customHeight="1" s="149">
      <c r="B159" s="291" t="n">
        <v>24</v>
      </c>
      <c r="C159" s="291" t="inlineStr">
        <is>
          <t>I want to increase / decrease effort by a specified %. Can this be done?</t>
        </is>
      </c>
    </row>
    <row r="160">
      <c r="D160" s="302" t="inlineStr">
        <is>
          <t xml:space="preserve">Yes this can be done, however technical justification beyond defined minimum / maximum % might not be feasible. </t>
        </is>
      </c>
    </row>
    <row r="161">
      <c r="D161" s="302" t="inlineStr">
        <is>
          <t>To increase / decrease, choose "Increase by:" or "Decrease by:" option on "Sales Call" scale and define required % value right next to it.</t>
        </is>
      </c>
    </row>
    <row r="162">
      <c r="D162" s="302" t="inlineStr">
        <is>
          <t xml:space="preserve">It will apply changes all over, including automated schedule. </t>
        </is>
      </c>
    </row>
    <row r="163">
      <c r="D163" s="302" t="inlineStr">
        <is>
          <t>Note: Manual schedule and Project Management effort (if added as Duration %) will remain as is, since that is a manual activity.</t>
        </is>
      </c>
    </row>
    <row r="165" ht="21" customFormat="1" customHeight="1" s="149">
      <c r="B165" s="291" t="n">
        <v>25</v>
      </c>
      <c r="C165" s="291" t="inlineStr">
        <is>
          <t>I want to exclude all optionals in order to keep tasks to bare minimum. How do I do that?</t>
        </is>
      </c>
    </row>
    <row r="166">
      <c r="D166" s="302" t="inlineStr">
        <is>
          <t>Have a look at the left area in WBS. Are there any Orange lines? If yes, this means, there are opitonally marked items. Set the "Optionals" choice on top to</t>
        </is>
      </c>
    </row>
    <row r="167">
      <c r="D167" s="302" t="inlineStr">
        <is>
          <t xml:space="preserve">"Exclude" and it will remove the effort for optional tasks. </t>
        </is>
      </c>
    </row>
    <row r="168">
      <c r="D168" s="302" t="inlineStr">
        <is>
          <t>Whenever this is changes, all effort, costing and schedule is updated. Note: Manual schedule will have no impact of this change and will need to be redone.</t>
        </is>
      </c>
    </row>
    <row r="172" ht="18.5" customHeight="1" s="337">
      <c r="B172" s="287" t="inlineStr">
        <is>
          <t>FOR ALL</t>
        </is>
      </c>
    </row>
    <row r="174" ht="21" customFormat="1" customHeight="1" s="149">
      <c r="B174" s="292" t="n">
        <v>26</v>
      </c>
      <c r="C174" s="292" t="inlineStr">
        <is>
          <t>I am looking for something else, this is not mentioned here. Where to look for?</t>
        </is>
      </c>
    </row>
    <row r="175">
      <c r="C175" s="302" t="inlineStr">
        <is>
          <t>Please send me a mail at vikas.burman@nagarro.com and I will address that.</t>
        </is>
      </c>
    </row>
  </sheetData>
  <mergeCells count="1">
    <mergeCell ref="D50:G52"/>
  </mergeCells>
  <pageMargins left="0.7" right="0.7" top="0.75" bottom="0.75" header="0.3" footer="0.3"/>
  <pageSetup orientation="portrait" horizontalDpi="4294967295" verticalDpi="4294967295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Mohit Bhardwaj</dc:creator>
  <dc:title xmlns:dc="http://purl.org/dc/elements/1.1/">Estimation Template</dc:title>
  <dcterms:created xmlns:dcterms="http://purl.org/dc/terms/" xmlns:xsi="http://www.w3.org/2001/XMLSchema-instance" xsi:type="dcterms:W3CDTF">2013-10-21T05:49:27Z</dcterms:created>
  <dcterms:modified xmlns:dcterms="http://purl.org/dc/terms/" xmlns:xsi="http://www.w3.org/2001/XMLSchema-instance" xsi:type="dcterms:W3CDTF">2026-08-27T12:16:19Z</dcterms:modified>
  <cp:lastModifiedBy>Gupta, Pawan</cp:lastModifiedBy>
  <cp:lastPrinted>2015-06-17T10:58:29Z</cp:lastPrinted>
</cp:coreProperties>
</file>

<file path=docProps/custom.xml><?xml version="1.0" encoding="utf-8"?>
<Properties xmlns="http://schemas.openxmlformats.org/officeDocument/2006/custom-properties">
  <property name="ContentTypeId" fmtid="{D5CDD505-2E9C-101B-9397-08002B2CF9AE}" pid="2">
    <vt:lpwstr xmlns:vt="http://schemas.openxmlformats.org/officeDocument/2006/docPropsVTypes">0x01010042D37EA284E13942B467171D07EA769900DF6D81BBF89D0D4DA19794E72F57D948</vt:lpwstr>
  </property>
  <property name="Description0" fmtid="{D5CDD505-2E9C-101B-9397-08002B2CF9AE}" pid="3">
    <vt:lpwstr xmlns:vt="http://schemas.openxmlformats.org/officeDocument/2006/docPropsVTypes">This is a template document (Excel Workbook) released as part of AG suggest series. This version (v2.0.4) provides advanced features to prepare rough and ballpark estimates for a given requirement, project or RFP. It also contains sample WBS task items.</vt:lpwstr>
  </property>
  <property name="TaxKeyword" fmtid="{D5CDD505-2E9C-101B-9397-08002B2CF9AE}" pid="4">
    <vt:lpwstr xmlns:vt="http://schemas.openxmlformats.org/officeDocument/2006/docPropsVTypes"/>
  </property>
  <property name="DocDescription" fmtid="{D5CDD505-2E9C-101B-9397-08002B2CF9AE}" pid="5">
    <vt:lpwstr xmlns:vt="http://schemas.openxmlformats.org/officeDocument/2006/docPropsVTypes">This is a template document (Excel Workbook) released as part of AG suggest series. This version (v2.0.4) provides advanced features to prepare rough and ballpark estimates for a given requirement, project or RFP. It also contains sample WBS task items.</vt:lpwstr>
  </property>
  <property name="TaxCatchAll" fmtid="{D5CDD505-2E9C-101B-9397-08002B2CF9AE}" pid="6">
    <vt:lpwstr xmlns:vt="http://schemas.openxmlformats.org/officeDocument/2006/docPropsVTypes"/>
  </property>
  <property name="SharedWithUsers" fmtid="{D5CDD505-2E9C-101B-9397-08002B2CF9AE}" pid="7">
    <vt:lpwstr xmlns:vt="http://schemas.openxmlformats.org/officeDocument/2006/docPropsVTypes">31;#Ridhi Jain;#32;#All Users (membership)</vt:lpwstr>
  </property>
</Properties>
</file>