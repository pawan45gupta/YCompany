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wan.gupta1/YCompany/presentation_documents/"/>
    </mc:Choice>
  </mc:AlternateContent>
  <xr:revisionPtr revIDLastSave="0" documentId="13_ncr:1_{A86442F8-E2DF-4544-A36F-23022E8D45A9}" xr6:coauthVersionLast="47" xr6:coauthVersionMax="47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0" yWindow="660" windowWidth="30240" windowHeight="17480" tabRatio="340" activeTab="1" xr2:uid="{00000000-000D-0000-FFFF-FFFF00000000}"/>
  </bookViews>
  <sheets>
    <sheet name="Lists" sheetId="1" state="hidden" r:id="rId1"/>
    <sheet name="Estimation" sheetId="2" r:id="rId2"/>
    <sheet name="Schedule" sheetId="3" r:id="rId3"/>
    <sheet name="RoughWork" sheetId="4" r:id="rId4"/>
    <sheet name="Help" sheetId="5" r:id="rId5"/>
    <sheet name="FAQs" sheetId="6" r:id="rId6"/>
  </sheets>
  <functionGroups builtInGroupCount="19"/>
  <definedNames>
    <definedName name="ACTIVITY_RANGE">Estimation!$376:$376</definedName>
    <definedName name="AS_DEV_EFFORT">Estimation!$P$266</definedName>
    <definedName name="AS_DURATION_EFFORT">Estimation!$P$267</definedName>
    <definedName name="AS_MANUAL_DURATION_EFFORT">Estimation!$U$268</definedName>
    <definedName name="AUTOMATED_END_DATE">Estimation!$P$242</definedName>
    <definedName name="BUFFER_TYPES_LIST">Lists!$B$45:$B$48</definedName>
    <definedName name="BUFFERS_BY_TYPE">Estimation!$N$301:$O$303</definedName>
    <definedName name="CHOSEN_CURRENCY">Estimation!$O$260</definedName>
    <definedName name="CLIENT_NAME">Estimation!$O$253</definedName>
    <definedName name="COMPACT_WBS">Estimation!$L$10:$T$203</definedName>
    <definedName name="COPY_TYPE">Estimation!$R$9</definedName>
    <definedName name="CURRENCIES_LIST">Lists!$B$27:$B$29</definedName>
    <definedName name="CUSTOM_PERCENT">Estimation!$T$5</definedName>
    <definedName name="DESIGN_COST">Estimation!$W$228</definedName>
    <definedName name="DESIGN_EFFORT">Estimation!$O$228</definedName>
    <definedName name="DESIGN_RANGE">Estimation!$L$65:$AC$94</definedName>
    <definedName name="DESIGN_TA_COUNT">Estimation!$R$238</definedName>
    <definedName name="DESIGN_TA_PERCENT">Estimation!$R$228</definedName>
    <definedName name="DEV_COST">Estimation!$W$229</definedName>
    <definedName name="DEV_DEV_COUNT">Estimation!$T$239</definedName>
    <definedName name="DEV_DEV_PERCENT">Estimation!$T$229</definedName>
    <definedName name="DEV_EFFORT">Estimation!$O$229</definedName>
    <definedName name="DEV_RANGE">Estimation!$L$95:$AC$134</definedName>
    <definedName name="DURATION">Estimation!$P$243</definedName>
    <definedName name="EXTRA_FOR_H">Estimation!$O$288</definedName>
    <definedName name="EXTRAS_ARRAY">Estimation!$N$293:$O$298</definedName>
    <definedName name="EXTRAS_LIST">Estimation!$N$293:$N$298</definedName>
    <definedName name="FBS">Estimation!$L$205</definedName>
    <definedName name="FBS_FORMAT">Estimation!$S$210</definedName>
    <definedName name="FBS_INSERT_AT">Estimation!$M$216:$P$216</definedName>
    <definedName name="FBS_LINK">Estimation!$T$210</definedName>
    <definedName name="FBS_RANGE">Estimation!$M$211:$P$217</definedName>
    <definedName name="FULL_WBS">Estimation!$L$10:$AC$203</definedName>
    <definedName name="INCLUDE_OPTIONALS_LIST">Lists!$B$58:$B$59</definedName>
    <definedName name="IS_KEY_OPP">Estimation!$O$258</definedName>
    <definedName name="LESS_FOR_L">Estimation!$O$289</definedName>
    <definedName name="MANUAL_DURATION">Estimation!$P$244</definedName>
    <definedName name="MANUAL_END_DATE">Schedule!$L$1</definedName>
    <definedName name="MAX_EFFORT_PERCENT">Estimation!$P$263</definedName>
    <definedName name="MIN_EFFORT_PERCENT">Estimation!$O$263</definedName>
    <definedName name="MODULE_RANGE">Estimation!$380:$380</definedName>
    <definedName name="NOT_IN_COMPACT">Estimation!$O:$W</definedName>
    <definedName name="OTHER_COST">Estimation!$W$232</definedName>
    <definedName name="OTHER_EFFORT">Estimation!$O$232</definedName>
    <definedName name="OTHER_TL_COUNT">Estimation!$S$242</definedName>
    <definedName name="OTHER_TL_PERCENT">Estimation!$S$232</definedName>
    <definedName name="OTHERS_RANGE">Estimation!$L$196:$AC$202</definedName>
    <definedName name="PLATFORM">Estimation!$O$255</definedName>
    <definedName name="PLATFORMS_LIST">Lists!$B$38:$B$42</definedName>
    <definedName name="_xlnm.Print_Area" localSheetId="1">Estimation!$A$1:$AC$249</definedName>
    <definedName name="PROJECT_NAME">Estimation!$O$254</definedName>
    <definedName name="PROJECT_TYPE">Estimation!$O$256</definedName>
    <definedName name="PROJECT_TYPES_LIST">Lists!$B$32:$B$35</definedName>
    <definedName name="QA_COST">Estimation!$W$230</definedName>
    <definedName name="QA_EFFORT">Estimation!$O$230</definedName>
    <definedName name="QA_RANGE">Estimation!$L$135:$AC$172</definedName>
    <definedName name="REGIONS_LIST">Lists!$B$19:$B$24</definedName>
    <definedName name="REQ_BA_COUNT">Estimation!$Q$237</definedName>
    <definedName name="REQ_BA_PERCENT">Estimation!$Q$227</definedName>
    <definedName name="REQ_COST">Estimation!$W$227</definedName>
    <definedName name="REQ_EFFORT">Estimation!$O$227</definedName>
    <definedName name="REQ_RANGE">Estimation!$L$12:$AC$64</definedName>
    <definedName name="RFP_NAME">Estimation!$O$257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Estimation!$P$293:$P$294</definedName>
    <definedName name="SECTION_RANGE">Estimation!$372:$378</definedName>
    <definedName name="START_DATE">Estimation!$O$237</definedName>
    <definedName name="TASK_RANGE">Estimation!$374:$377</definedName>
    <definedName name="TEMPLATE_NAME">Estimation!$G$3</definedName>
    <definedName name="TEMPLATE_SECTION">Estimation!$371:$381</definedName>
    <definedName name="TEMPLATE_VER">Estimation!$K$3</definedName>
    <definedName name="TESTING_QA_COUNT">Estimation!$U$240</definedName>
    <definedName name="TESTING_QA_PERCENT">Estimation!$U$230</definedName>
    <definedName name="TOTAL_COST">Estimation!$W$233</definedName>
    <definedName name="TOTAL_EFFORT">Estimation!$O$233</definedName>
    <definedName name="Total_FRs">Estimation!$Q$23</definedName>
    <definedName name="Total_Screens">Estimation!$P$62</definedName>
    <definedName name="Total_Test_Cases">Estimation!$P$147</definedName>
    <definedName name="Total_Use_Cases">Estimation!$P$43</definedName>
    <definedName name="TOTAL_WEEKS">Estimation!$P$233</definedName>
    <definedName name="UAT_COST">Estimation!$W$231</definedName>
    <definedName name="UAT_DEV_COUNT">Estimation!$T$241</definedName>
    <definedName name="UAT_DEV_PERCENT">Estimation!$T$231</definedName>
    <definedName name="UAT_EFFORT">Estimation!$O$231</definedName>
    <definedName name="UAT_RANGE">Estimation!$L$173:$AC$195</definedName>
    <definedName name="YES_NO_LIST">Lists!$B$3:$B$5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B2" i="5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AK4" i="3" s="1"/>
  <c r="AL4" i="3" s="1"/>
  <c r="C4" i="3"/>
  <c r="G3" i="3"/>
  <c r="K3" i="3" s="1"/>
  <c r="O3" i="3" s="1"/>
  <c r="S3" i="3" s="1"/>
  <c r="W3" i="3" s="1"/>
  <c r="AA3" i="3" s="1"/>
  <c r="AE3" i="3" s="1"/>
  <c r="AI3" i="3" s="1"/>
  <c r="C1" i="3"/>
  <c r="C55" i="1"/>
  <c r="C54" i="1"/>
  <c r="C52" i="1"/>
  <c r="C51" i="1"/>
  <c r="AD380" i="2"/>
  <c r="Y376" i="2"/>
  <c r="AA376" i="2" s="1"/>
  <c r="S376" i="2" s="1"/>
  <c r="AD374" i="2"/>
  <c r="AD372" i="2"/>
  <c r="N303" i="2"/>
  <c r="N302" i="2"/>
  <c r="N301" i="2"/>
  <c r="AB250" i="2"/>
  <c r="T244" i="2"/>
  <c r="P244" i="2"/>
  <c r="N242" i="2"/>
  <c r="B11" i="3" s="1"/>
  <c r="M242" i="2"/>
  <c r="N241" i="2"/>
  <c r="B10" i="3" s="1"/>
  <c r="M241" i="2"/>
  <c r="N240" i="2"/>
  <c r="B9" i="3" s="1"/>
  <c r="M240" i="2"/>
  <c r="N239" i="2"/>
  <c r="B8" i="3" s="1"/>
  <c r="M239" i="2"/>
  <c r="N238" i="2"/>
  <c r="B7" i="3" s="1"/>
  <c r="M238" i="2"/>
  <c r="N237" i="2"/>
  <c r="B6" i="3" s="1"/>
  <c r="M237" i="2"/>
  <c r="N232" i="2"/>
  <c r="M232" i="2"/>
  <c r="B232" i="2"/>
  <c r="N231" i="2"/>
  <c r="M231" i="2"/>
  <c r="B231" i="2"/>
  <c r="N230" i="2"/>
  <c r="M230" i="2"/>
  <c r="B230" i="2"/>
  <c r="N229" i="2"/>
  <c r="M229" i="2"/>
  <c r="B229" i="2"/>
  <c r="N228" i="2"/>
  <c r="M228" i="2"/>
  <c r="B228" i="2"/>
  <c r="N227" i="2"/>
  <c r="M227" i="2"/>
  <c r="B227" i="2"/>
  <c r="W225" i="2"/>
  <c r="V225" i="2"/>
  <c r="U225" i="2"/>
  <c r="T225" i="2"/>
  <c r="S225" i="2"/>
  <c r="R225" i="2"/>
  <c r="Q225" i="2"/>
  <c r="B225" i="2" s="1"/>
  <c r="P210" i="2"/>
  <c r="AD198" i="2"/>
  <c r="Y193" i="2"/>
  <c r="AA193" i="2" s="1"/>
  <c r="S193" i="2" s="1"/>
  <c r="AD193" i="2" s="1"/>
  <c r="Y192" i="2"/>
  <c r="AA192" i="2" s="1"/>
  <c r="S192" i="2" s="1"/>
  <c r="AD192" i="2" s="1"/>
  <c r="Y191" i="2"/>
  <c r="AA191" i="2" s="1"/>
  <c r="S191" i="2" s="1"/>
  <c r="AD191" i="2" s="1"/>
  <c r="Y190" i="2"/>
  <c r="AA190" i="2" s="1"/>
  <c r="S190" i="2" s="1"/>
  <c r="AD188" i="2"/>
  <c r="Y186" i="2"/>
  <c r="AA186" i="2" s="1"/>
  <c r="S186" i="2" s="1"/>
  <c r="AD184" i="2"/>
  <c r="Y182" i="2"/>
  <c r="AA182" i="2" s="1"/>
  <c r="S182" i="2" s="1"/>
  <c r="AD180" i="2"/>
  <c r="Y178" i="2"/>
  <c r="AA178" i="2" s="1"/>
  <c r="S178" i="2" s="1"/>
  <c r="AD178" i="2" s="1"/>
  <c r="Y177" i="2"/>
  <c r="AA177" i="2" s="1"/>
  <c r="S177" i="2" s="1"/>
  <c r="AD177" i="2" s="1"/>
  <c r="AD175" i="2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R168" i="2"/>
  <c r="Y167" i="2"/>
  <c r="AA167" i="2" s="1"/>
  <c r="S167" i="2" s="1"/>
  <c r="AD167" i="2" s="1"/>
  <c r="R167" i="2"/>
  <c r="AD166" i="2"/>
  <c r="Y166" i="2"/>
  <c r="AA166" i="2" s="1"/>
  <c r="S166" i="2"/>
  <c r="Y165" i="2"/>
  <c r="AA165" i="2" s="1"/>
  <c r="S165" i="2" s="1"/>
  <c r="R165" i="2"/>
  <c r="AD163" i="2"/>
  <c r="Y161" i="2"/>
  <c r="AA161" i="2" s="1"/>
  <c r="S161" i="2" s="1"/>
  <c r="AD161" i="2" s="1"/>
  <c r="X160" i="2"/>
  <c r="X159" i="2"/>
  <c r="Y158" i="2"/>
  <c r="AA158" i="2" s="1"/>
  <c r="S158" i="2" s="1"/>
  <c r="AD156" i="2"/>
  <c r="Y153" i="2"/>
  <c r="AA153" i="2" s="1"/>
  <c r="S153" i="2" s="1"/>
  <c r="AD151" i="2"/>
  <c r="Y149" i="2"/>
  <c r="AA149" i="2" s="1"/>
  <c r="S149" i="2" s="1"/>
  <c r="AD149" i="2" s="1"/>
  <c r="Y146" i="2"/>
  <c r="AA146" i="2" s="1"/>
  <c r="S146" i="2" s="1"/>
  <c r="AD144" i="2"/>
  <c r="AD143" i="2"/>
  <c r="Y140" i="2"/>
  <c r="AA140" i="2" s="1"/>
  <c r="S140" i="2" s="1"/>
  <c r="AD138" i="2"/>
  <c r="AD137" i="2"/>
  <c r="Y132" i="2"/>
  <c r="AA132" i="2" s="1"/>
  <c r="S132" i="2" s="1"/>
  <c r="AD132" i="2" s="1"/>
  <c r="Y131" i="2"/>
  <c r="AA131" i="2" s="1"/>
  <c r="S131" i="2" s="1"/>
  <c r="AD129" i="2"/>
  <c r="AD128" i="2"/>
  <c r="AD126" i="2"/>
  <c r="Y126" i="2"/>
  <c r="AA126" i="2" s="1"/>
  <c r="S126" i="2"/>
  <c r="AD124" i="2"/>
  <c r="T124" i="2"/>
  <c r="AD122" i="2"/>
  <c r="Y122" i="2"/>
  <c r="AA122" i="2" s="1"/>
  <c r="S122" i="2"/>
  <c r="AD121" i="2"/>
  <c r="Y121" i="2"/>
  <c r="AA121" i="2" s="1"/>
  <c r="S121" i="2"/>
  <c r="AD119" i="2"/>
  <c r="T119" i="2"/>
  <c r="AD118" i="2"/>
  <c r="Y116" i="2"/>
  <c r="AA116" i="2" s="1"/>
  <c r="S116" i="2" s="1"/>
  <c r="AD116" i="2" s="1"/>
  <c r="Y115" i="2"/>
  <c r="AA115" i="2" s="1"/>
  <c r="S115" i="2" s="1"/>
  <c r="AD113" i="2"/>
  <c r="AD112" i="2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4" i="2"/>
  <c r="Y102" i="2"/>
  <c r="AA102" i="2" s="1"/>
  <c r="S102" i="2" s="1"/>
  <c r="AD102" i="2" s="1"/>
  <c r="Y101" i="2"/>
  <c r="AA101" i="2" s="1"/>
  <c r="S101" i="2" s="1"/>
  <c r="AD101" i="2" s="1"/>
  <c r="Y100" i="2"/>
  <c r="AA100" i="2" s="1"/>
  <c r="S100" i="2" s="1"/>
  <c r="AD100" i="2" s="1"/>
  <c r="Y99" i="2"/>
  <c r="AA99" i="2" s="1"/>
  <c r="S99" i="2" s="1"/>
  <c r="AD97" i="2"/>
  <c r="Y92" i="2"/>
  <c r="AA92" i="2" s="1"/>
  <c r="S92" i="2" s="1"/>
  <c r="AD92" i="2" s="1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Y87" i="2"/>
  <c r="AA87" i="2" s="1"/>
  <c r="S87" i="2" s="1"/>
  <c r="AD87" i="2" s="1"/>
  <c r="Y86" i="2"/>
  <c r="AA86" i="2" s="1"/>
  <c r="S86" i="2" s="1"/>
  <c r="Y85" i="2"/>
  <c r="AA85" i="2" s="1"/>
  <c r="S85" i="2" s="1"/>
  <c r="AD85" i="2" s="1"/>
  <c r="AD83" i="2"/>
  <c r="Y81" i="2"/>
  <c r="AA81" i="2" s="1"/>
  <c r="S81" i="2" s="1"/>
  <c r="AD81" i="2" s="1"/>
  <c r="Y80" i="2"/>
  <c r="AA80" i="2" s="1"/>
  <c r="S80" i="2" s="1"/>
  <c r="AD80" i="2" s="1"/>
  <c r="Y79" i="2"/>
  <c r="AA79" i="2" s="1"/>
  <c r="S79" i="2" s="1"/>
  <c r="AD79" i="2" s="1"/>
  <c r="Y78" i="2"/>
  <c r="AA78" i="2" s="1"/>
  <c r="S78" i="2" s="1"/>
  <c r="AD76" i="2"/>
  <c r="Y74" i="2"/>
  <c r="AA74" i="2" s="1"/>
  <c r="S74" i="2"/>
  <c r="AD74" i="2" s="1"/>
  <c r="AD72" i="2"/>
  <c r="T72" i="2"/>
  <c r="Y70" i="2"/>
  <c r="AA70" i="2" s="1"/>
  <c r="S70" i="2" s="1"/>
  <c r="AD70" i="2" s="1"/>
  <c r="Y69" i="2"/>
  <c r="AA69" i="2" s="1"/>
  <c r="S69" i="2" s="1"/>
  <c r="AD67" i="2"/>
  <c r="Y62" i="2"/>
  <c r="AA62" i="2" s="1"/>
  <c r="S62" i="2" s="1"/>
  <c r="AD62" i="2" s="1"/>
  <c r="Y60" i="2"/>
  <c r="AA60" i="2" s="1"/>
  <c r="S60" i="2" s="1"/>
  <c r="AD60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AD41" i="2"/>
  <c r="Y39" i="2"/>
  <c r="AA39" i="2" s="1"/>
  <c r="S39" i="2" s="1"/>
  <c r="AD39" i="2" s="1"/>
  <c r="Y38" i="2"/>
  <c r="AA38" i="2" s="1"/>
  <c r="S38" i="2"/>
  <c r="AD38" i="2" s="1"/>
  <c r="Y37" i="2"/>
  <c r="AA37" i="2" s="1"/>
  <c r="S37" i="2" s="1"/>
  <c r="AD37" i="2" s="1"/>
  <c r="Y36" i="2"/>
  <c r="AA36" i="2" s="1"/>
  <c r="S36" i="2" s="1"/>
  <c r="Y35" i="2"/>
  <c r="AA35" i="2" s="1"/>
  <c r="S35" i="2" s="1"/>
  <c r="AD35" i="2" s="1"/>
  <c r="AD33" i="2"/>
  <c r="Y31" i="2"/>
  <c r="AA31" i="2" s="1"/>
  <c r="S31" i="2" s="1"/>
  <c r="AD31" i="2" s="1"/>
  <c r="Y30" i="2"/>
  <c r="AA30" i="2" s="1"/>
  <c r="S30" i="2" s="1"/>
  <c r="AD30" i="2" s="1"/>
  <c r="Y29" i="2"/>
  <c r="AA29" i="2" s="1"/>
  <c r="S29" i="2" s="1"/>
  <c r="Y28" i="2"/>
  <c r="AA28" i="2" s="1"/>
  <c r="S28" i="2" s="1"/>
  <c r="AD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Y17" i="2"/>
  <c r="AA17" i="2" s="1"/>
  <c r="S17" i="2" s="1"/>
  <c r="AD17" i="2" s="1"/>
  <c r="Y16" i="2"/>
  <c r="AA16" i="2" s="1"/>
  <c r="S16" i="2" s="1"/>
  <c r="AD14" i="2"/>
  <c r="N3" i="2"/>
  <c r="M3" i="2"/>
  <c r="S380" i="2"/>
  <c r="S128" i="2"/>
  <c r="S118" i="2"/>
  <c r="S112" i="2"/>
  <c r="S137" i="2"/>
  <c r="S143" i="2"/>
  <c r="L14" i="2"/>
  <c r="T20" i="2" l="1"/>
  <c r="L15" i="2"/>
  <c r="AD16" i="2"/>
  <c r="AD36" i="2"/>
  <c r="T33" i="2"/>
  <c r="AD29" i="2"/>
  <c r="T26" i="2"/>
  <c r="AD146" i="2"/>
  <c r="T104" i="2"/>
  <c r="AD106" i="2"/>
  <c r="AD131" i="2"/>
  <c r="T129" i="2"/>
  <c r="T180" i="2"/>
  <c r="AD182" i="2"/>
  <c r="AD22" i="2"/>
  <c r="Y43" i="2"/>
  <c r="AA43" i="2" s="1"/>
  <c r="S43" i="2" s="1"/>
  <c r="Q148" i="2"/>
  <c r="P148" i="2"/>
  <c r="Y148" i="2" s="1"/>
  <c r="AA148" i="2" s="1"/>
  <c r="S148" i="2" s="1"/>
  <c r="AD148" i="2" s="1"/>
  <c r="Q141" i="2"/>
  <c r="Y141" i="2" s="1"/>
  <c r="AA141" i="2" s="1"/>
  <c r="S141" i="2" s="1"/>
  <c r="AD141" i="2" s="1"/>
  <c r="Q61" i="2"/>
  <c r="Y61" i="2" s="1"/>
  <c r="AA61" i="2" s="1"/>
  <c r="S61" i="2" s="1"/>
  <c r="AD61" i="2" s="1"/>
  <c r="Q147" i="2"/>
  <c r="Q18" i="2"/>
  <c r="Y18" i="2" s="1"/>
  <c r="AA18" i="2" s="1"/>
  <c r="S18" i="2" s="1"/>
  <c r="AD18" i="2" s="1"/>
  <c r="P147" i="2"/>
  <c r="AD49" i="2"/>
  <c r="T47" i="2"/>
  <c r="AD69" i="2"/>
  <c r="T67" i="2"/>
  <c r="AD86" i="2"/>
  <c r="T83" i="2"/>
  <c r="T97" i="2"/>
  <c r="AD99" i="2"/>
  <c r="AD78" i="2"/>
  <c r="T76" i="2"/>
  <c r="T113" i="2"/>
  <c r="AD115" i="2"/>
  <c r="AD58" i="2"/>
  <c r="AD153" i="2"/>
  <c r="AD186" i="2"/>
  <c r="T184" i="2"/>
  <c r="T163" i="2"/>
  <c r="AD165" i="2"/>
  <c r="T374" i="2"/>
  <c r="S372" i="2" s="1"/>
  <c r="AD376" i="2"/>
  <c r="AD140" i="2"/>
  <c r="AD158" i="2"/>
  <c r="AD190" i="2"/>
  <c r="T188" i="2"/>
  <c r="T175" i="2"/>
  <c r="L20" i="2"/>
  <c r="S95" i="2" l="1"/>
  <c r="O229" i="2" s="1"/>
  <c r="S173" i="2"/>
  <c r="O231" i="2" s="1"/>
  <c r="W231" i="2" s="1"/>
  <c r="T14" i="2"/>
  <c r="L21" i="2"/>
  <c r="T41" i="2"/>
  <c r="AD43" i="2"/>
  <c r="T138" i="2"/>
  <c r="T56" i="2"/>
  <c r="S12" i="2" s="1"/>
  <c r="O227" i="2" s="1"/>
  <c r="W229" i="2"/>
  <c r="P229" i="2"/>
  <c r="S65" i="2"/>
  <c r="O228" i="2" s="1"/>
  <c r="Q159" i="2"/>
  <c r="Y159" i="2" s="1"/>
  <c r="AA159" i="2" s="1"/>
  <c r="S159" i="2" s="1"/>
  <c r="Q160" i="2"/>
  <c r="Y160" i="2" s="1"/>
  <c r="AA160" i="2" s="1"/>
  <c r="S160" i="2" s="1"/>
  <c r="AD160" i="2" s="1"/>
  <c r="Q154" i="2"/>
  <c r="Y154" i="2" s="1"/>
  <c r="AA154" i="2" s="1"/>
  <c r="S154" i="2" s="1"/>
  <c r="Y147" i="2"/>
  <c r="AA147" i="2" s="1"/>
  <c r="S147" i="2" s="1"/>
  <c r="M16" i="2"/>
  <c r="M17" i="2" s="1"/>
  <c r="M18" i="2" s="1"/>
  <c r="L26" i="2"/>
  <c r="P231" i="2" l="1"/>
  <c r="L27" i="2"/>
  <c r="AD147" i="2"/>
  <c r="T144" i="2"/>
  <c r="W227" i="2"/>
  <c r="P227" i="2"/>
  <c r="AD159" i="2"/>
  <c r="T156" i="2"/>
  <c r="AD154" i="2"/>
  <c r="T151" i="2"/>
  <c r="W228" i="2"/>
  <c r="P228" i="2"/>
  <c r="M22" i="2"/>
  <c r="M23" i="2" s="1"/>
  <c r="M24" i="2" s="1"/>
  <c r="L33" i="2"/>
  <c r="S135" i="2" l="1"/>
  <c r="O230" i="2" s="1"/>
  <c r="W230" i="2" s="1"/>
  <c r="L34" i="2"/>
  <c r="P237" i="2"/>
  <c r="O238" i="2" s="1"/>
  <c r="M28" i="2"/>
  <c r="M29" i="2" s="1"/>
  <c r="M30" i="2" s="1"/>
  <c r="M31" i="2" s="1"/>
  <c r="L41" i="2"/>
  <c r="P230" i="2" l="1"/>
  <c r="X200" i="2"/>
  <c r="Y200" i="2" s="1"/>
  <c r="AA200" i="2" s="1"/>
  <c r="S200" i="2" s="1"/>
  <c r="T198" i="2" s="1"/>
  <c r="S196" i="2" s="1"/>
  <c r="O232" i="2" s="1"/>
  <c r="L42" i="2"/>
  <c r="P238" i="2"/>
  <c r="O239" i="2" s="1"/>
  <c r="M35" i="2"/>
  <c r="M36" i="2" s="1"/>
  <c r="M37" i="2" s="1"/>
  <c r="M38" i="2" s="1"/>
  <c r="M39" i="2" s="1"/>
  <c r="L47" i="2"/>
  <c r="AD200" i="2" l="1"/>
  <c r="T3" i="2" s="1"/>
  <c r="L48" i="2"/>
  <c r="P239" i="2"/>
  <c r="O240" i="2" s="1"/>
  <c r="W232" i="2"/>
  <c r="W233" i="2" s="1"/>
  <c r="P225" i="2" s="1"/>
  <c r="P232" i="2"/>
  <c r="P233" i="2" s="1"/>
  <c r="O233" i="2"/>
  <c r="M43" i="2"/>
  <c r="M44" i="2" s="1"/>
  <c r="M45" i="2" s="1"/>
  <c r="L56" i="2"/>
  <c r="L67" i="2"/>
  <c r="L68" i="2" l="1"/>
  <c r="L57" i="2"/>
  <c r="M58" i="2" s="1"/>
  <c r="M59" i="2" s="1"/>
  <c r="M60" i="2" s="1"/>
  <c r="M61" i="2" s="1"/>
  <c r="M62" i="2" s="1"/>
  <c r="P240" i="2"/>
  <c r="O241" i="2" s="1"/>
  <c r="O225" i="2"/>
  <c r="N262" i="2"/>
  <c r="S203" i="2"/>
  <c r="N5" i="2"/>
  <c r="M49" i="2"/>
  <c r="M50" i="2" s="1"/>
  <c r="M51" i="2" s="1"/>
  <c r="M52" i="2" s="1"/>
  <c r="M53" i="2" s="1"/>
  <c r="M54" i="2" s="1"/>
  <c r="L72" i="2"/>
  <c r="L73" i="2" l="1"/>
  <c r="P241" i="2"/>
  <c r="O242" i="2" s="1"/>
  <c r="P242" i="2" s="1"/>
  <c r="M69" i="2"/>
  <c r="M70" i="2" s="1"/>
  <c r="L76" i="2"/>
  <c r="L77" i="2" l="1"/>
  <c r="T243" i="2"/>
  <c r="P243" i="2"/>
  <c r="N6" i="2" s="1"/>
  <c r="M74" i="2"/>
  <c r="L83" i="2"/>
  <c r="L84" i="2" l="1"/>
  <c r="M78" i="2"/>
  <c r="M79" i="2" s="1"/>
  <c r="M80" i="2" s="1"/>
  <c r="M81" i="2" s="1"/>
  <c r="L97" i="2"/>
  <c r="L98" i="2" l="1"/>
  <c r="M85" i="2"/>
  <c r="M86" i="2" s="1"/>
  <c r="M87" i="2" s="1"/>
  <c r="M88" i="2" s="1"/>
  <c r="M89" i="2" s="1"/>
  <c r="M90" i="2" s="1"/>
  <c r="M91" i="2" s="1"/>
  <c r="M92" i="2" s="1"/>
  <c r="L104" i="2"/>
  <c r="L105" i="2" l="1"/>
  <c r="M99" i="2"/>
  <c r="M100" i="2" s="1"/>
  <c r="M101" i="2" s="1"/>
  <c r="M102" i="2" s="1"/>
  <c r="L113" i="2"/>
  <c r="L114" i="2" l="1"/>
  <c r="M106" i="2"/>
  <c r="M107" i="2" s="1"/>
  <c r="M108" i="2" s="1"/>
  <c r="M109" i="2" s="1"/>
  <c r="M110" i="2" s="1"/>
  <c r="L119" i="2"/>
  <c r="L120" i="2" l="1"/>
  <c r="M115" i="2"/>
  <c r="M116" i="2" s="1"/>
  <c r="L124" i="2"/>
  <c r="L138" i="2"/>
  <c r="L139" i="2" l="1"/>
  <c r="M140" i="2" s="1"/>
  <c r="M141" i="2" s="1"/>
  <c r="L125" i="2"/>
  <c r="M121" i="2"/>
  <c r="M122" i="2" s="1"/>
  <c r="L129" i="2"/>
  <c r="L144" i="2"/>
  <c r="L145" i="2" l="1"/>
  <c r="L130" i="2"/>
  <c r="M131" i="2" s="1"/>
  <c r="M132" i="2" s="1"/>
  <c r="M126" i="2"/>
  <c r="L151" i="2"/>
  <c r="L152" i="2" l="1"/>
  <c r="M146" i="2"/>
  <c r="M147" i="2" s="1"/>
  <c r="M148" i="2" s="1"/>
  <c r="M149" i="2" s="1"/>
  <c r="L156" i="2"/>
  <c r="L175" i="2"/>
  <c r="L176" i="2" l="1"/>
  <c r="M177" i="2" s="1"/>
  <c r="M178" i="2" s="1"/>
  <c r="L157" i="2"/>
  <c r="M153" i="2"/>
  <c r="M154" i="2" s="1"/>
  <c r="L163" i="2"/>
  <c r="L180" i="2"/>
  <c r="L181" i="2" l="1"/>
  <c r="L164" i="2"/>
  <c r="M158" i="2"/>
  <c r="M159" i="2" s="1"/>
  <c r="M160" i="2" s="1"/>
  <c r="M161" i="2" s="1"/>
  <c r="L184" i="2"/>
  <c r="L185" i="2" l="1"/>
  <c r="M165" i="2"/>
  <c r="M166" i="2" s="1"/>
  <c r="M167" i="2" s="1"/>
  <c r="M168" i="2" s="1"/>
  <c r="M169" i="2" s="1"/>
  <c r="M170" i="2" s="1"/>
  <c r="M182" i="2"/>
  <c r="L188" i="2"/>
  <c r="L198" i="2"/>
  <c r="L374" i="2"/>
  <c r="L375" i="2" l="1"/>
  <c r="M376" i="2" s="1"/>
  <c r="L199" i="2"/>
  <c r="M200" i="2" s="1"/>
  <c r="L189" i="2"/>
  <c r="M190" i="2" s="1"/>
  <c r="M191" i="2" s="1"/>
  <c r="M192" i="2" s="1"/>
  <c r="M193" i="2" s="1"/>
  <c r="M186" i="2"/>
</calcChain>
</file>

<file path=xl/sharedStrings.xml><?xml version="1.0" encoding="utf-8"?>
<sst xmlns="http://schemas.openxmlformats.org/spreadsheetml/2006/main" count="1366" uniqueCount="700">
  <si>
    <t>Choices &amp; Notes</t>
  </si>
  <si>
    <t>AG Estimation Template -  Version</t>
  </si>
  <si>
    <t>2.0.4</t>
  </si>
  <si>
    <t>Sales</t>
  </si>
  <si>
    <t>Last updated:</t>
  </si>
  <si>
    <t>Effort:</t>
  </si>
  <si>
    <t>No Change</t>
  </si>
  <si>
    <t>Presales</t>
  </si>
  <si>
    <t>Effort estimates are based on high level of analysis and may change on detailed analysis.</t>
  </si>
  <si>
    <t>Last updated by:</t>
  </si>
  <si>
    <t>Pawan Gupta</t>
  </si>
  <si>
    <t>Optionals:</t>
  </si>
  <si>
    <t>Include</t>
  </si>
  <si>
    <t>AG</t>
  </si>
  <si>
    <t>Choices</t>
  </si>
  <si>
    <t>Copy Image:</t>
  </si>
  <si>
    <t>Compact</t>
  </si>
  <si>
    <t>Full</t>
  </si>
  <si>
    <t>Read Help for more details.</t>
  </si>
  <si>
    <t>W0</t>
  </si>
  <si>
    <t>→</t>
  </si>
  <si>
    <t>Mark as</t>
  </si>
  <si>
    <t>Add</t>
  </si>
  <si>
    <t>Unit</t>
  </si>
  <si>
    <t>Complexity %</t>
  </si>
  <si>
    <t>PDs / 1 M*</t>
  </si>
  <si>
    <t>W1</t>
  </si>
  <si>
    <t>←</t>
  </si>
  <si>
    <t>Optional</t>
  </si>
  <si>
    <t>Buffer</t>
  </si>
  <si>
    <t>Extras</t>
  </si>
  <si>
    <t>Exclude</t>
  </si>
  <si>
    <t>Notes</t>
  </si>
  <si>
    <t>Tasks</t>
  </si>
  <si>
    <t>RFP Mapping</t>
  </si>
  <si>
    <t>Name</t>
  </si>
  <si>
    <t>#</t>
  </si>
  <si>
    <t>x N</t>
  </si>
  <si>
    <t>Effort (PDs)</t>
  </si>
  <si>
    <t>H</t>
  </si>
  <si>
    <t>M*</t>
  </si>
  <si>
    <t>L</t>
  </si>
  <si>
    <t>Calculated</t>
  </si>
  <si>
    <t xml:space="preserve"> (+/-)</t>
  </si>
  <si>
    <t>w Extras</t>
  </si>
  <si>
    <t>Out of scope / Assumptions</t>
  </si>
  <si>
    <t>S1</t>
  </si>
  <si>
    <t>↑</t>
  </si>
  <si>
    <t>↓</t>
  </si>
  <si>
    <t>A</t>
  </si>
  <si>
    <t>Discovery / Requirement Analysis</t>
  </si>
  <si>
    <t>S2</t>
  </si>
  <si>
    <t>T1</t>
  </si>
  <si>
    <t>Current system understanding</t>
  </si>
  <si>
    <t>T2</t>
  </si>
  <si>
    <t>X</t>
  </si>
  <si>
    <t>Yes</t>
  </si>
  <si>
    <t>-</t>
  </si>
  <si>
    <t>&gt;&gt; Valid for re-engineering task only
&gt;&gt; Technical understanding of current overall system and architecture.</t>
  </si>
  <si>
    <t>Analysis of existing system architecture
&gt;&gt; Walk-through of the legacy YCompany storefront stack (UX, content model, server rendering)
&gt;&gt; Catalog and inventory data model review
&gt;&gt; Current SEO, performance and Core Web Vitals baseline
&gt;&gt; Payments and integrations inventory</t>
  </si>
  <si>
    <t>Iterations</t>
  </si>
  <si>
    <t>User-requested deep-dive: 20 PDs (~4 weeks) to analyse the legacy YCompany storefront — UX, content model, page templates, server rendering, current SEO, payments, and integration touchpoints.</t>
  </si>
  <si>
    <t>Business process understanding and verification
&gt;&gt; Sessions with merchandising, marketing, customer care, ops and finance
&gt;&gt; Document AS-IS storefront flows (browse, PDP, cart, checkout, post-sale)
&gt;&gt; Confirm SLAs, escalation paths and operational hand-offs</t>
  </si>
  <si>
    <t>Sessions</t>
  </si>
  <si>
    <t>Business process walk-through with merchandising, marketing, customer care, ops and finance leads (~22 sessions, ~4 PDs total for write-ups).</t>
  </si>
  <si>
    <t>Understand Stakeholder Requirements, Data Analysis
&gt;&gt; Stakeholders interviews (Business, Technology, Design)
&gt;&gt; Document interview findings and analytics deep-dive
&gt;&gt; Client presentation (Stakeholder Interviews, Analysis)
&gt;&gt; Map findings to use cases (Total_Use_Cases driver)</t>
  </si>
  <si>
    <t>Based on Total Use Cases
(Filled automatically)</t>
  </si>
  <si>
    <t>Stakeholder requirements analysis: ~0.1 PD per use case (75 × 0.1 = 7.5 PDs) covering browse, PDP, cart, checkout, account, orders, search (Elastic + fallback), transactional email and observability.</t>
  </si>
  <si>
    <t>T3</t>
  </si>
  <si>
    <t>Requirement analysis</t>
  </si>
  <si>
    <t>Project Plan and Kick off
&gt;&gt; Team introductions, RACI, governance and revised project schedule
&gt;&gt; Sprint cadence + ceremonies (planning, review, retro)
&gt;&gt; Communications plan, escalation matrix and DoR / DoD</t>
  </si>
  <si>
    <t>Workshops</t>
  </si>
  <si>
    <t>Project plan, kick-off, RACI, comms cadence (2 workshops).</t>
  </si>
  <si>
    <t>Analysis for new business requirements
&gt;&gt; Functional Requirement (FR) workshops per module
&gt;&gt; Catalog, Search (Elastic Cloud + fallback), Cart, Auth, Checkout, Orders, Coupons, Account, Resend email, Observability, Security
&gt;&gt; Capture acceptance criteria + edge cases
&gt;&gt; Convert into prioritised product backlog (driven by Total_FRs)</t>
  </si>
  <si>
    <t>Total FR's</t>
  </si>
  <si>
    <t>Analysis effort = 0.3 PD per FR (25 FRs × 0.3 = 7.5 PDs). Covers catalogue, Elastic Cloud search, cart, auth, checkout, orders, coupons, account, Resend notifications and observability.</t>
  </si>
  <si>
    <t>&gt;&gt; Valid for re-engineering task only</t>
  </si>
  <si>
    <t>Business process re-engineering
&gt;&gt; Analysis to optimize checkout, coupon and post-purchase flows
&gt;&gt; Streamline order lifecycle, returns and cancellation
&gt;&gt; Identify automation candidates (webhook-driven order sync, GA4 events)</t>
  </si>
  <si>
    <t>Business process re-engineering on checkout, coupons, order lifecycle and transactional email triggers (~4 PDs).</t>
  </si>
  <si>
    <t>Create User Profiles, User Journeys</t>
  </si>
  <si>
    <t>Prepare Guide and Interview Users
&gt;&gt; Build interview discussion guide and recruitment screener
&gt;&gt; Conduct 10–12 interviews across personas (shopper, gifter, guest, admin)
&gt;&gt; Capture pain points, motivations and shopping rituals</t>
  </si>
  <si>
    <t>Users</t>
  </si>
  <si>
    <t>Interview prep + execution: 0.25 PD per user × 12 users = 3 PDs.</t>
  </si>
  <si>
    <t>Create User Profiles &amp; Personas
&gt;&gt; Synthesize interview transcripts into 4 personas
&gt;&gt; Document goals, frustrations, devices, decision drivers
&gt;&gt; Validate personas with merchandising and customer-care leads</t>
  </si>
  <si>
    <t>Personas</t>
  </si>
  <si>
    <t>4 personas × 0.5 PD = 2 PDs: returning shopper, gifter, guest checkout, admin.</t>
  </si>
  <si>
    <t>Create User Journeys
&gt;&gt; Browse → PDP → Cart → Checkout → Confirmation
&gt;&gt; Account self-service: orders list, order detail, cancellation
&gt;&gt; Search and discovery journey (Elastic Cloud or in-memory /api/products/search)
&gt;&gt; Coupon redemption journey (WELCOME10 / SAVE20 / FREESHIP)</t>
  </si>
  <si>
    <t>Journeys</t>
  </si>
  <si>
    <t>5 journeys × 0.5 PD = 2.5 PDs: browse, Elastic/in-memory search, cart→checkout, account self-service, coupon redemption.</t>
  </si>
  <si>
    <t>Client Presentation, review and Sign-off
&gt;&gt; Walk-through of personas + journey maps with stakeholders
&gt;&gt; Capture feedback and revise (max 2 review iterations)
&gt;&gt; Formal sign-off on personas, journeys and prioritised opportunities</t>
  </si>
  <si>
    <t>Personas + journeys presentation, 2 review iterations.</t>
  </si>
  <si>
    <t>Audit</t>
  </si>
  <si>
    <t>Competitor Analysis
&gt;&gt; Benchmark against 2 modern apparel storefronts (one luxury, one fast-fashion)
&gt;&gt; Compare PDP, search, checkout, account and post-purchase flows
&gt;&gt; Capture best-practice patterns + anti-patterns</t>
  </si>
  <si>
    <t>Competitors</t>
  </si>
  <si>
    <t>2 competitors × 0.5 PD = 1 PD benchmark.</t>
  </si>
  <si>
    <t>User Observations
&gt;&gt; Contextual observation of in-store + online shoppers
&gt;&gt; Heatmap and session-recording review of existing storefront
&gt;&gt; Document friction points and drop-off hotspots</t>
  </si>
  <si>
    <t>6 observation sessions × 0.25 PD = 1.5 PDs.</t>
  </si>
  <si>
    <t>Expert Review
&gt;&gt; Heuristic evaluation of legacy YCompany storefront (Nielsen's 10)
&gt;&gt; Accessibility quick-audit (WCAG 2.1 AA contrast, focus, ARIA)
&gt;&gt; Mobile-first review on the 14 target screens</t>
  </si>
  <si>
    <t>Heuristic expert review (1 PD).</t>
  </si>
  <si>
    <t>Task Analysis
&gt;&gt; Decompose checkout and order management into atomic tasks
&gt;&gt; Identify cognitive + interaction load per step
&gt;&gt; Map tasks to backlog items + acceptance criteria</t>
  </si>
  <si>
    <t>Task analysis for checkout + order management (1 PD).</t>
  </si>
  <si>
    <t>Client Presentation, review and Sign-off
&gt;&gt; Walkthrough of audit findings + recommendations
&gt;&gt; Prioritise quick wins vs. long-term improvements
&gt;&gt; Sign-off on audit and analysis report</t>
  </si>
  <si>
    <t>Audit walkthrough + sign-off (1 PD).</t>
  </si>
  <si>
    <t>Requirement Documentation and Review</t>
  </si>
  <si>
    <t>SRS: Software Requirement Specification
&gt;&gt; Preparation of SRS document (Total_FRs × Use Cases / FR)
&gt;&gt; Use Cases / Stories incl. business rules, validations, CRUD per field
&gt;&gt; Business process diagrams (sequence + state) for checkout, orders and email notifications
&gt;&gt; Wireframes for the 14 storefront screens
&gt;&gt; Functional coverage matrix mapped to NextAuth, Stripe, Elastic search and Resend APIs</t>
  </si>
  <si>
    <t>Name : Total Use Cases
# : Total FR's
xN : Use Case Per FR</t>
  </si>
  <si>
    <t>SRS: 0.2 PD per use case (75 × 0.2 = 15 PDs). Includes NextAuth, Stripe, Elastic Cloud search facade, Resend email flows and Search API contracts.</t>
  </si>
  <si>
    <t>Usability Analysis
&gt;&gt; Information architecture review (header, nav, footer, search affordances)
&gt;&gt; Cart and checkout flow usability heuristics
&gt;&gt; Mobile responsive behaviour validation across the 14 screens</t>
  </si>
  <si>
    <t>Information flow + navigation usability analysis (2 PDs).</t>
  </si>
  <si>
    <t>Review and Sign-off
&gt;&gt; Client review iterations on SRS, wireframes and acceptance criteria
&gt;&gt; Resolve open questions + update traceability matrix
&gt;&gt; Formal sign-off gates Phase 2 (Design)</t>
  </si>
  <si>
    <t>SRS review iterations × 2 = 2 PDs.</t>
  </si>
  <si>
    <t>Information Architecture</t>
  </si>
  <si>
    <t>Card Sorting (Optional)
&gt;&gt; Open + closed card sort with 10–12 participants
&gt;&gt; Validate category taxonomy against personas
&gt;&gt; Output: revised category structure for catalog navigation</t>
  </si>
  <si>
    <t>Participants</t>
  </si>
  <si>
    <t>Optional: card sorting with 12 participants × 0.1 = 1.2 PDs.</t>
  </si>
  <si>
    <t>Create Site Map &amp; Content Inventory (Optional)
&gt;&gt; Full site map of marketing + storefront + account areas
&gt;&gt; Content inventory with owners, freshness and SEO targets
&gt;&gt; Mapping into Next.js App Router route tree</t>
  </si>
  <si>
    <t>Optional: site map + content inventory (2 PDs).</t>
  </si>
  <si>
    <t>R1: Preliminary Wireframes (4–5) (Optional)
&gt;&gt; Low-fidelity wireframes for the 14 storefront screens
&gt;&gt; Cover home, PDP, category, search, cart, checkout, confirmation
&gt;&gt; 3 review iterations with stakeholders</t>
  </si>
  <si>
    <t>Screens</t>
  </si>
  <si>
    <t>Optional: preliminary wireframes for the 14 screens × 0.5 PD = 7 PDs.</t>
  </si>
  <si>
    <t>Reverse Card Sort (Optional)
&gt;&gt; Validate proposed IA with 10 participants
&gt;&gt; Test findability of top tasks: search a product, redeem coupon, view order
&gt;&gt; Iterate IA based on success metrics</t>
  </si>
  <si>
    <t>Optional: reverse card sort with 10 participants × 0.1 = 1 PD.</t>
  </si>
  <si>
    <t>R2: Detailed Wireframes + Interaction Tables (15–20) (Optional)
&gt;&gt; High-fidelity wireframes with interaction tables
&gt;&gt; States: loading, empty, error, success per key surface
&gt;&gt; Hand-off package ready for visual design</t>
  </si>
  <si>
    <t>Optional: detailed wireframes for 14 screens × 0.75 PD = 10.5 PDs.</t>
  </si>
  <si>
    <t>Review and Sign-off (Optional)
&gt;&gt; Client review iterations and sign-off on final wireframes
&gt;&gt; Hand-off to visual design + engineering kickoff
&gt;&gt; Update traceability matrix with IA decisions</t>
  </si>
  <si>
    <t>Optional: IA review iterations × 2 = 2 PDs.</t>
  </si>
  <si>
    <t>Prototyping Visual designs</t>
  </si>
  <si>
    <t>Create Preliminary Visual Design Compositions (3-4 templates)</t>
  </si>
  <si>
    <t>Templates</t>
  </si>
  <si>
    <t>4 design templates × 1.5 PD = 6 PDs: home/landing, PDP, category/search, checkout/cart.</t>
  </si>
  <si>
    <t>Create Click through mockups</t>
  </si>
  <si>
    <t>Click-through mockups for the 4 templates × 0.75 PD = 3 PDs.</t>
  </si>
  <si>
    <t>Click thorugh mockups using Axure</t>
  </si>
  <si>
    <t>Mockups</t>
  </si>
  <si>
    <t>4 mockups in Figma × 0.5 PD = 2 PDs (no Axure).</t>
  </si>
  <si>
    <t>Usability Testing</t>
  </si>
  <si>
    <t>% of the Use cases</t>
  </si>
  <si>
    <t>Optional: usability testing on ~2% of use cases (≈1.5 use cases × 1 PD).</t>
  </si>
  <si>
    <t>Final Revisions</t>
  </si>
  <si>
    <t>Name: Total Screens
#: Key Screens</t>
  </si>
  <si>
    <t>Final visual revisions: 14 screens × 0.5 PD = 7 PDs.</t>
  </si>
  <si>
    <t>S3</t>
  </si>
  <si>
    <t>B</t>
  </si>
  <si>
    <t>System Design, Framework and Test Cases</t>
  </si>
  <si>
    <t>Analysis of existing application(s) design</t>
  </si>
  <si>
    <t>Analyse the existing storefront's design system, MUI usage and component library (2.5 PDs).</t>
  </si>
  <si>
    <t>Analysis of existing database(s)</t>
  </si>
  <si>
    <t>Tables</t>
  </si>
  <si>
    <t>Legacy schema review: 12 tables × 0.25 PD = 3 PDs. Inputs into Postgres design for users, products, stock, orders, coupons.</t>
  </si>
  <si>
    <t>POCs</t>
  </si>
  <si>
    <t>POC: &lt;POC description&gt;</t>
  </si>
  <si>
    <t>Excluded: no bespoke POCs required for YCompany; stack is proven (Next.js 16 App Router, NextAuth v5, Stripe v22, MUI v9).</t>
  </si>
  <si>
    <t>Design Analysis and Documentation</t>
  </si>
  <si>
    <t xml:space="preserve">High Level Analysis and design document preparation
</t>
  </si>
  <si>
    <t>HLD delivered as DAR-YCompany-Updated.docx covering architecture, Elasticsearch search workflow, Resend notifications, observability, security, deployment and risks (7 PDs).</t>
  </si>
  <si>
    <t xml:space="preserve">Low level analysis and design document preparation
</t>
  </si>
  <si>
    <t>LLD per module: Storefront RSCs, API/Route Handlers, Elastic search facade, Resend email layer, Payments + Webhooks, Coupons, Orders sync (3 PDs).</t>
  </si>
  <si>
    <t>Database design and analysis document preparation
&gt;&gt; Data Dictionary etc.</t>
  </si>
  <si>
    <t>Database design: 12 Postgres tables × 0.5 PD = 6 PDs. Data dictionary for users, products, stock, orders, coupons.</t>
  </si>
  <si>
    <t>Review and Sign-off
&gt;&gt; Client review iterations and sign-off on design documents</t>
  </si>
  <si>
    <t>Design review iterations + sign-off (2 PDs).</t>
  </si>
  <si>
    <t>Application framework construction</t>
  </si>
  <si>
    <t>Multi-layered architecture:
&gt;&gt; DAL, ORM, BLL, Façade, WCF services and Presentation layer
&gt;&gt; Communication design across layers through interfaces and DTOs</t>
  </si>
  <si>
    <t>Next.js 16 App Router + MUI 9 (Emotion 11 SSR via AppRouterCacheProvider), TanStack Query 5 client, server-only data layer + ApiError model (6 PDs).</t>
  </si>
  <si>
    <t>X-cutting layers
&gt;&gt; Logging, Exception handling, caching, Resend email, rate limiting, etc.</t>
  </si>
  <si>
    <t>Cross-cutting: Sentry, GA4, New Relic, ApiError model, rate limiting, Zod 4 validation (4 PDs).</t>
  </si>
  <si>
    <t>Security
&gt;&gt; Authentication, authorization framework</t>
  </si>
  <si>
    <t>NextAuth v5 with Credentials (bcryptjs) + Google / GitHub / Facebook / Apple OAuth, Edge proxy guarding /account (4 PDs).</t>
  </si>
  <si>
    <t>Multi-lingual support</t>
  </si>
  <si>
    <t>Basic i18n scaffolding (en) with helper modules; full localisation deferred to Phase 3 (1 PD).</t>
  </si>
  <si>
    <t>Integration adaptor framework</t>
  </si>
  <si>
    <t>Integration adapters for Stripe (Checkout + webhook), OAuth providers, Resend transactional email, optional Elastic Cloud, and Phase-3 inventory feed (3 PDs).</t>
  </si>
  <si>
    <t>Schedular service</t>
  </si>
  <si>
    <t>Scheduler service for coupon expiry sweeps + order-sync fallback jobs (1 PD).</t>
  </si>
  <si>
    <t>UI Navigation framework</t>
  </si>
  <si>
    <t>App Router navigation: route groups, parallel routes, proxy middleware, route-level loading.tsx and error.tsx (5 PDs).</t>
  </si>
  <si>
    <t>Workflow management framework</t>
  </si>
  <si>
    <t>Checkout + order lifecycle workflow: cart → Stripe Checkout → webhook → order + Resend confirmation email, with /api/orders/sync fallback (5 PDs).</t>
  </si>
  <si>
    <t>C</t>
  </si>
  <si>
    <t>Development and Unit Testing</t>
  </si>
  <si>
    <t>Development environment and team ramp-up</t>
  </si>
  <si>
    <t>SRS knowledge transfer to team members</t>
  </si>
  <si>
    <t>SRS KT for the 5-7 person delivery team (2 PDs).</t>
  </si>
  <si>
    <t>Design knowledge transfer to team members</t>
  </si>
  <si>
    <t>Design + component library KT (2 PDs).</t>
  </si>
  <si>
    <t>Application framework knowledge transfer to team members</t>
  </si>
  <si>
    <t>App framework KT (RSC, server actions, MUI theming) (2 PDs).</t>
  </si>
  <si>
    <t>Development environment setup</t>
  </si>
  <si>
    <t>2 dev environments: Vercel preview/prod and Docker/Kubernetes portable runtime (2 PDs).</t>
  </si>
  <si>
    <t>Shared/core tasks</t>
  </si>
  <si>
    <t>Screen: Master Page
&gt;&gt; Main menu, navigation logic and menu authorization logic</t>
  </si>
  <si>
    <t>Home page (RSC) with hero, featured products, brand collections, category nav (3 PDs).</t>
  </si>
  <si>
    <t>Screen: Login (authentication process)</t>
  </si>
  <si>
    <t>Login surface: NextAuth credentials + 4 OAuth buttons (3 PDs).</t>
  </si>
  <si>
    <t>Functionality: Authorization engine</t>
  </si>
  <si>
    <t>Authorization: Edge proxy + auth() helpers around /account and /api routes (3 PDs).</t>
  </si>
  <si>
    <t>Functionality: Transactional notification engine (Resend)
&gt;&gt; Welcome email on signup
&gt;&gt; Order confirmation on Stripe webhook / orders sync
&gt;&gt; Cancellation email on order cancel
&gt;&gt; Console fallback when RESEND_API_KEY is not configured</t>
  </si>
  <si>
    <t>Resend transactional email: welcome (signup), order confirmation (Stripe webhook + orders/sync), order cancellation; HTML templates + console fallback when RESEND_API_KEY unset (3 PDs).</t>
  </si>
  <si>
    <t>Functionality: Catalog search (Elastic Cloud + fallback)
&gt;&gt; SearchClient + ProductSearchAutocomplete
&gt;&gt; GET /api/products/search with brand, price, sort filters
&gt;&gt; searchProducts() facade with Elasticsearch primary path and in-memory fallback</t>
  </si>
  <si>
    <t>Elastic Cloud search facade (searchProducts): optional Elasticsearch index ycompany-products (npm run search:index), multi_match + filters + sort, automatic in-memory CatalogIndex fallback; SearchClient debounce/URL sync + header autocomplete (5 PDs).</t>
  </si>
  <si>
    <t>M</t>
  </si>
  <si>
    <t>Task Group Name</t>
  </si>
  <si>
    <t>Task Name</t>
  </si>
  <si>
    <t>Screen: &lt;screen name&gt;
&gt;&gt; CRUD, List, Search</t>
  </si>
  <si>
    <t>Storefront screens × 11 × 4 PDs = 44 PDs: PDP, category, search, cart, checkout, checkout/success, account dashboard, orders list, order detail, login/signup, about.</t>
  </si>
  <si>
    <t>Task: &lt;task name&gt;
&gt;&gt; Activity</t>
  </si>
  <si>
    <t>Cross-screen components × 15 × 2 PDs = 30 PDs: CouponField, CartQuantityStepper, ProductSearchAutocomplete, AppLoader, ProductCard, AccountDashboard, SocialSignInButtons, Header, Footer, UserMenu, email templates.</t>
  </si>
  <si>
    <t>Data Migration</t>
  </si>
  <si>
    <t>Data Migration ETL Process</t>
  </si>
  <si>
    <t>&gt;&gt; From older to new database
&gt;&gt; ETL Process and data de-duplication</t>
  </si>
  <si>
    <t>Excluded: no legacy → new ETL in MVP. Data is greenfield; legacy import deferred to Phase 3.</t>
  </si>
  <si>
    <t>Task activity
&gt;&gt; Scope Item 1 
&gt;&gt; Scope Item 2
&gt;&gt; Scope Item 3</t>
  </si>
  <si>
    <t>Excluded: see row 121 — no ETL pipeline in scope for Phase 1 / 2.</t>
  </si>
  <si>
    <t>Data Migration Execution</t>
  </si>
  <si>
    <t>&gt;&gt; From older to new SQL Server DB
&gt;&gt; Master Script</t>
  </si>
  <si>
    <t>Excluded: no SQL Server migration; Postgres provisioned fresh.</t>
  </si>
  <si>
    <t>System Stabilization</t>
  </si>
  <si>
    <t>Performance tuning</t>
  </si>
  <si>
    <t>Performance tuning: Lighthouse budgets, MUI package import optimization, next/image, RSC streaming (2 PDs).</t>
  </si>
  <si>
    <t>This effort should be calculated by summing up all tasks/groups other than System Stabilization.</t>
  </si>
  <si>
    <t>Bug fixing</t>
  </si>
  <si>
    <t>Bug-fixing capacity sized at ~10% of dev effort (3 PDs hardening).</t>
  </si>
  <si>
    <t>D</t>
  </si>
  <si>
    <t>System Testing and Stabilization</t>
  </si>
  <si>
    <t>Team Ramp up</t>
  </si>
  <si>
    <t>Requirement Analysis and Planning</t>
  </si>
  <si>
    <t>Requirement Study and Analysis</t>
  </si>
  <si>
    <t>QA requirement walk-through across the 75 use cases (3 PDs).</t>
  </si>
  <si>
    <t>Test Plan document
&gt;&gt; (Creation of test plan)</t>
  </si>
  <si>
    <t>Total Use Cases</t>
  </si>
  <si>
    <t>Test plan + traceability: 0.05 PD per use case (75 × 0.05 = 3.75 PDs).</t>
  </si>
  <si>
    <t>Test Preparation</t>
  </si>
  <si>
    <t>Functional test cases preparation and review</t>
  </si>
  <si>
    <t>Testing strategy and planning</t>
  </si>
  <si>
    <t>Testing strategy (unit + integration + e2e + a11y) (2 PDs).</t>
  </si>
  <si>
    <t>&gt;&gt; Valid only in case of mannual testing
&gt;&gt; Mutually exclusive with 5.3</t>
  </si>
  <si>
    <t>Test cases preparation (Manual)
&gt;&gt; For system and integration testing</t>
  </si>
  <si>
    <t>Name: Total Test Cases
# : Total Use case's
xN : Test case Per Use case</t>
  </si>
  <si>
    <t>Manual test case prep: 0.05 PD per test case (375 TCs × 0.05 = 18.75 PDs ~ 20 TCs/day).</t>
  </si>
  <si>
    <t>&gt;&gt; Valid only in case of automated testing
&gt;&gt; Mutually exclusive with 5.2</t>
  </si>
  <si>
    <t>Test cases preparation (Automated)
&gt;&gt; Automated test scripts</t>
  </si>
  <si>
    <t>Automated test case prep (Vitest 4 + RTL, 201 tests in reference impl): 0.08 PD per test case (375 TCs × 0.08 = 30 PDs ~ 12 tests/day).</t>
  </si>
  <si>
    <t>Review and Sign-off
&gt;&gt; Client review iterations and sign-off on test cases</t>
  </si>
  <si>
    <t>QA review + sign-off on test artefacts (2 PDs).</t>
  </si>
  <si>
    <t>Functional test cases execution</t>
  </si>
  <si>
    <t>Testing environment setup</t>
  </si>
  <si>
    <t>Test environments: Vercel preview + k8s staging (1.5 PDs).</t>
  </si>
  <si>
    <t>How much percentage of test cases you are intended to execute</t>
  </si>
  <si>
    <t>Test case execution
&gt;&gt; Testing, logs and reports</t>
  </si>
  <si>
    <t>Percentage of Test Cases</t>
  </si>
  <si>
    <t>Manual exploratory + regression execution: 0.1 PD per test case for 10% of TCs (37.5 TCs × 0.1 = 3.75 PDs per cycle).</t>
  </si>
  <si>
    <t>Performance testing</t>
  </si>
  <si>
    <t>Performance testing environment setup</t>
  </si>
  <si>
    <t>Environments</t>
  </si>
  <si>
    <t>Performance test environments: Vercel preview + staging (2 PDs).</t>
  </si>
  <si>
    <t>Scripts preparation</t>
  </si>
  <si>
    <t>Test Cases</t>
  </si>
  <si>
    <t>Perf scripts prep: ~0.25 PD per script (15% of 375 TCs ≈ 56 scripts × 0.25 PD ≈ 14 PDs).</t>
  </si>
  <si>
    <t>Scripts execution</t>
  </si>
  <si>
    <t>Perf execution: ~0.02 PD per run × 56 scripts ≈ 1.2 PDs.</t>
  </si>
  <si>
    <t>Reports preparation</t>
  </si>
  <si>
    <t>Perf report: percentiles, Core Web Vitals, error budget (2 PDs).</t>
  </si>
  <si>
    <t>Other Testing</t>
  </si>
  <si>
    <t>Multi-lingual testing</t>
  </si>
  <si>
    <t>Languages
Screens</t>
  </si>
  <si>
    <t>i18n smoke (English only in MVP): 0.25 PD per screen × 14 = 3.5 PDs.</t>
  </si>
  <si>
    <t>Data migration testing</t>
  </si>
  <si>
    <t>Excluded: no data migration in MVP (see rows 121/122).</t>
  </si>
  <si>
    <t>Multi-browser testing</t>
  </si>
  <si>
    <t>Browsers
Screens</t>
  </si>
  <si>
    <t>Multi-browser (Chrome, Safari, Firefox, Edge × last 2 versions): 0.3 PD × 14 screens = 4.2 PDs.</t>
  </si>
  <si>
    <t>Multi-device testing</t>
  </si>
  <si>
    <t>Devices
Screens</t>
  </si>
  <si>
    <t>Multi-device (Desktop, iOS Safari, Android Chrome × last 2 OS): 0.3 PD × 14 screens = 4.2 PDs.</t>
  </si>
  <si>
    <t xml:space="preserve">Accessibility Testing </t>
  </si>
  <si>
    <t>Optional: WCAG 2.1 AA audit + axe-core in CI — 14 screens × 0.5 PD = 7 PDs.</t>
  </si>
  <si>
    <t>Optional: usability testing kept for Phase 3+ (14 screens × 1 PD = 14 PDs).</t>
  </si>
  <si>
    <t>E</t>
  </si>
  <si>
    <t>Deployment, UAT and Documentation</t>
  </si>
  <si>
    <t>Staging releases (partial)</t>
  </si>
  <si>
    <t>Interim demos</t>
  </si>
  <si>
    <t>Demos</t>
  </si>
  <si>
    <t>8 sprint demos × 0.5 PD = 4 PDs on the Vercel preview environment.</t>
  </si>
  <si>
    <t>Interim staging releases
&gt;&gt; Preparation of release notes, installer, builds, etc.</t>
  </si>
  <si>
    <t>Releases</t>
  </si>
  <si>
    <t>8 interim staging releases × 0.4 PD = 3.2 PDs (one per sprint).</t>
  </si>
  <si>
    <t>UAT Release (Full)</t>
  </si>
  <si>
    <t>UAT release
&gt;&gt; Preparation of release notes, installer, builds, etc.
&gt;&gt; UNIT: Total No. of Resources x N UAT cycle</t>
  </si>
  <si>
    <t>Resources
Weeks</t>
  </si>
  <si>
    <t>UAT release: 1 resource × 2 weeks × 5 PD/week = 10 PDs (release notes, deploy doc, runbook).</t>
  </si>
  <si>
    <t>Production Release (Full)</t>
  </si>
  <si>
    <t>Final production release
&gt;&gt; Preparation of release notes, installer, builds, etc.</t>
  </si>
  <si>
    <t>Production release: 1 resource × 2 weeks × 5 PD/week = 10 PDs (final cut-over + go-live war room).</t>
  </si>
  <si>
    <t>Documentation and training</t>
  </si>
  <si>
    <t>Deployment document</t>
  </si>
  <si>
    <t>Deployment guide (Vercel + Kubernetes manifests + Dockerfile) (1 PD).</t>
  </si>
  <si>
    <t>Training Plan and artifacts</t>
  </si>
  <si>
    <t>Training plan + artefacts (admin, ops, support) (1 PD).</t>
  </si>
  <si>
    <t>User manual</t>
  </si>
  <si>
    <t>End-user manual: account, orders, coupons, checkout, search filters and email notifications (1 PD).</t>
  </si>
  <si>
    <t>Train the trainer sessions</t>
  </si>
  <si>
    <t>Train-the-trainer sessions for client champions (1 PD).</t>
  </si>
  <si>
    <t>F</t>
  </si>
  <si>
    <t>Others</t>
  </si>
  <si>
    <t>PM Effort</t>
  </si>
  <si>
    <t>Project management effort</t>
  </si>
  <si>
    <t>Percentage</t>
  </si>
  <si>
    <t>PM effort auto-computed at 10% of (REQ+DESIGN+DEV+QA+UAT) effort via the inbuilt formula in X200.</t>
  </si>
  <si>
    <t>W2</t>
  </si>
  <si>
    <t>Functional Breakdown Summary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</si>
  <si>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</si>
  <si>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Format:</t>
  </si>
  <si>
    <t>Default</t>
  </si>
  <si>
    <t>Generate</t>
  </si>
  <si>
    <t>1</t>
  </si>
  <si>
    <t>Development environment &amp; team ramp-up</t>
  </si>
  <si>
    <t>2</t>
  </si>
  <si>
    <t>Shared/core surface (Master, Login, Auth, Notify, Search)</t>
  </si>
  <si>
    <t>Storefront screens (PDP, category, cart, checkout, account, …)</t>
  </si>
  <si>
    <t>3</t>
  </si>
  <si>
    <t>Cross-screen components, hooks, API handlers</t>
  </si>
  <si>
    <t>4</t>
  </si>
  <si>
    <t>Performance tuning &amp; bug fixing</t>
  </si>
  <si>
    <t>5</t>
  </si>
  <si>
    <t>System stabilisation (perf + regression)</t>
  </si>
  <si>
    <t>Pricing &amp; Basic Schedule</t>
  </si>
  <si>
    <t>Role-wise rates / effort distribution</t>
  </si>
  <si>
    <t>BA</t>
  </si>
  <si>
    <t>TA</t>
  </si>
  <si>
    <t>TL</t>
  </si>
  <si>
    <t>DEV</t>
  </si>
  <si>
    <t>QA</t>
  </si>
  <si>
    <t>GD</t>
  </si>
  <si>
    <t>Req</t>
  </si>
  <si>
    <t>Design</t>
  </si>
  <si>
    <t>Dev.</t>
  </si>
  <si>
    <t>UAT Etc.</t>
  </si>
  <si>
    <t>←  TOTALS  →</t>
  </si>
  <si>
    <t>Role-wise resource count / phase</t>
  </si>
  <si>
    <t>Start Next  
After %</t>
  </si>
  <si>
    <t>Start</t>
  </si>
  <si>
    <t>End</t>
  </si>
  <si>
    <t>Note: This does not takes care of optimized parallel execution of tasks. For that manual scheduling will be required, which can be / done on next sheet.</t>
  </si>
  <si>
    <t>Automated</t>
  </si>
  <si>
    <t>Weeks</t>
  </si>
  <si>
    <t>Ending at:</t>
  </si>
  <si>
    <t>Manual</t>
  </si>
  <si>
    <t>For complete manual schedule details,</t>
  </si>
  <si>
    <t>click here.</t>
  </si>
  <si>
    <t>Estimation Support Settings</t>
  </si>
  <si>
    <t>RFP Details</t>
  </si>
  <si>
    <t>Client Name</t>
  </si>
  <si>
    <t>YCompany</t>
  </si>
  <si>
    <t>Project Name</t>
  </si>
  <si>
    <t>Retail Inventory Management Software System (RIMSS)</t>
  </si>
  <si>
    <t>Platform</t>
  </si>
  <si>
    <t>Web</t>
  </si>
  <si>
    <t>Project Type</t>
  </si>
  <si>
    <t>Development</t>
  </si>
  <si>
    <t>RFP Name</t>
  </si>
  <si>
    <t>YCompany RIMSS Storefront</t>
  </si>
  <si>
    <t>Is Key Opp?</t>
  </si>
  <si>
    <t>Geography</t>
  </si>
  <si>
    <t>USA</t>
  </si>
  <si>
    <t>Currency</t>
  </si>
  <si>
    <t>USD</t>
  </si>
  <si>
    <t>Minimum (-)</t>
  </si>
  <si>
    <t>Maximum (+)</t>
  </si>
  <si>
    <t>Inbuilt Names (to use in Formula)</t>
  </si>
  <si>
    <t>Special Unit Names</t>
  </si>
  <si>
    <t>TOTAL_COST</t>
  </si>
  <si>
    <t>As Dev Effort %</t>
  </si>
  <si>
    <t>(Do not use inside development phase)</t>
  </si>
  <si>
    <t>REQ_COST</t>
  </si>
  <si>
    <t>As Duration %</t>
  </si>
  <si>
    <t>(Uses manual duration)</t>
  </si>
  <si>
    <t>DESIGN_COST</t>
  </si>
  <si>
    <t>DEV_COST</t>
  </si>
  <si>
    <t>QA_COST</t>
  </si>
  <si>
    <t>UAT_COST</t>
  </si>
  <si>
    <t>OTHER_COST</t>
  </si>
  <si>
    <t>TOTAL_EFFORT</t>
  </si>
  <si>
    <t>REQ_EFFORT</t>
  </si>
  <si>
    <t>DESIGN_EFFORT</t>
  </si>
  <si>
    <t>DEV_EFFORT</t>
  </si>
  <si>
    <t>QA_EFFORT</t>
  </si>
  <si>
    <t>UAT_EFFORT</t>
  </si>
  <si>
    <t>OTHER_EFFORT</t>
  </si>
  <si>
    <t>TOTAL_WEEKS</t>
  </si>
  <si>
    <t>START_DATE</t>
  </si>
  <si>
    <t>AUTOMATED_END_DATE</t>
  </si>
  <si>
    <t>MANUAL_END_DATE</t>
  </si>
  <si>
    <t>DURATION</t>
  </si>
  <si>
    <t>MANUAL_DURATION</t>
  </si>
  <si>
    <t>Complexity impact</t>
  </si>
  <si>
    <t>% Values</t>
  </si>
  <si>
    <t>High (+)</t>
  </si>
  <si>
    <t>Used to get effort for High and Low complexity activities based on given medium complexity effort.</t>
  </si>
  <si>
    <t>Low (-)</t>
  </si>
  <si>
    <t>Added to calculated effort, when chosen.</t>
  </si>
  <si>
    <t>Unit Testing</t>
  </si>
  <si>
    <t>Unknowns</t>
  </si>
  <si>
    <t>Extra 1</t>
  </si>
  <si>
    <t>Extra 2</t>
  </si>
  <si>
    <t>Extra 3</t>
  </si>
  <si>
    <t>Buffer types</t>
  </si>
  <si>
    <t>Added to final effort reached after +/- adjustments.</t>
  </si>
  <si>
    <t>Section Name</t>
  </si>
  <si>
    <t>&gt;&gt; Out of scope activity 1</t>
  </si>
  <si>
    <t>&gt;&gt; Assumption 1
&gt;&gt; Assumption 2</t>
  </si>
  <si>
    <t>YES_NO_LIST</t>
  </si>
  <si>
    <t>No</t>
  </si>
  <si>
    <t>ROLES_LIST</t>
  </si>
  <si>
    <t>OC</t>
  </si>
  <si>
    <t>PM</t>
  </si>
  <si>
    <t>REGIONS_LIST</t>
  </si>
  <si>
    <t>Mexico</t>
  </si>
  <si>
    <t>Europe</t>
  </si>
  <si>
    <t>Asia (except India)</t>
  </si>
  <si>
    <t>India</t>
  </si>
  <si>
    <t>CURRENCIES_LIST</t>
  </si>
  <si>
    <t>Euro</t>
  </si>
  <si>
    <t>PROJECT_TYPES_LIST</t>
  </si>
  <si>
    <t>Consulting</t>
  </si>
  <si>
    <t>Testing</t>
  </si>
  <si>
    <t>PLATFORMS_LIST</t>
  </si>
  <si>
    <t>Windows</t>
  </si>
  <si>
    <t>Mobile</t>
  </si>
  <si>
    <t>Enterprise</t>
  </si>
  <si>
    <t>BUFFER_TYPES_LIST</t>
  </si>
  <si>
    <t>Low</t>
  </si>
  <si>
    <t>Medium</t>
  </si>
  <si>
    <t>High</t>
  </si>
  <si>
    <t>SALES_CALL_SCALE_LIST</t>
  </si>
  <si>
    <t>Minimize</t>
  </si>
  <si>
    <t>Reduce by:</t>
  </si>
  <si>
    <t>Increase by:</t>
  </si>
  <si>
    <t>Maximize</t>
  </si>
  <si>
    <t>INCLUDE_OPTIONALS_LIST</t>
  </si>
  <si>
    <t>Start Date</t>
  </si>
  <si>
    <t>End Date</t>
  </si>
  <si>
    <t>NOTE:</t>
  </si>
  <si>
    <t>Manually build the execution plan below using given template or otherwise and type in the final end date above.</t>
  </si>
  <si>
    <t>Months</t>
  </si>
  <si>
    <t>Phases</t>
  </si>
  <si>
    <t>Resources</t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</si>
  <si>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</si>
  <si>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</si>
  <si>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</si>
  <si>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</si>
  <si>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</si>
  <si>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</si>
  <si>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</si>
  <si>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</si>
  <si>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</si>
  <si>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Top 15 Features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</si>
  <si>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</si>
  <si>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</si>
  <si>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</si>
  <si>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</si>
  <si>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</si>
  <si>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</si>
  <si>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Multi-level Auto Numbering</t>
  </si>
  <si>
    <t>Consistent 2-level Automated Grouping</t>
  </si>
  <si>
    <t>It numbers and re-numbers tasks and activities</t>
  </si>
  <si>
    <t>Across all phases, it does consistent two level grouping</t>
  </si>
  <si>
    <t>automatically as you insert or remove items.</t>
  </si>
  <si>
    <t>of tasks and activities; automatically as you insert or remove</t>
  </si>
  <si>
    <t>Phase numbers are kept manual as this is generally fixed</t>
  </si>
  <si>
    <t xml:space="preserve">items. </t>
  </si>
  <si>
    <t xml:space="preserve">and rarely changes. </t>
  </si>
  <si>
    <t>Task groups don't have numbers by default, but you can</t>
  </si>
  <si>
    <t>A task group can bring in one level of logical seperation without</t>
  </si>
  <si>
    <t>do manual numbering, if you need.</t>
  </si>
  <si>
    <t>adding another level of grouping.</t>
  </si>
  <si>
    <t>Controlled Insert/Delete</t>
  </si>
  <si>
    <t>Since estimation sheet is password protected and does not allow adding/removing rows anywhere, it provieds simple command buttons to add tasks, activities and groups.</t>
  </si>
  <si>
    <t>Add Before button add a task when not inside/on a section/task; when inside a task or on an activity, it adds an activity</t>
  </si>
  <si>
    <t>Add After button do  the same as Add Before, but insert new item on top of current row</t>
  </si>
  <si>
    <t>Add Group adds a task group (can be used to define a module)</t>
  </si>
  <si>
    <t>Remove button deletes the current row (which could be an activity, task or task group)</t>
  </si>
  <si>
    <t>Move Up/Down buttons move current row up or down. Rows can cross phases as well.</t>
  </si>
  <si>
    <t>100% Automated Calculations</t>
  </si>
  <si>
    <t>Activities sum up at task level</t>
  </si>
  <si>
    <t xml:space="preserve">All regular summation and calculations are baked in 100% safe formulae, that cannot </t>
  </si>
  <si>
    <t>Tasks sum up at phase level</t>
  </si>
  <si>
    <t>be overwritten accidently or otherwise; as cells are protected.</t>
  </si>
  <si>
    <t>If task groups are inserted, tasks below a task group sum up at task group level.</t>
  </si>
  <si>
    <t>This also facilitate upto last change reflection in effort, schedule and costing</t>
  </si>
  <si>
    <t>The plase where a new task group is inserted, all tasks below that row untill</t>
  </si>
  <si>
    <t>updates.</t>
  </si>
  <si>
    <t>next task group or till the end of that phase, become part of that task group.</t>
  </si>
  <si>
    <t>Automated Basic Scheduling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</si>
  <si>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</si>
  <si>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</si>
  <si>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</si>
  <si>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</si>
  <si>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</si>
  <si>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</si>
  <si>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Costing Goes Hand-in-Hand</t>
  </si>
  <si>
    <t>Define role wise rates and let it calculate the cost</t>
  </si>
  <si>
    <t>as the estimation happens / changes are applied.</t>
  </si>
  <si>
    <t>Instantly!</t>
  </si>
  <si>
    <t xml:space="preserve">A summary of current cost always shows up </t>
  </si>
  <si>
    <t>on top.</t>
  </si>
  <si>
    <t>Graphical Effort Distribution</t>
  </si>
  <si>
    <t>Aggregated Effort Per Task</t>
  </si>
  <si>
    <t>Effort distribution per phase is shown</t>
  </si>
  <si>
    <t>graphically for easy comprehension.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</si>
  <si>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</si>
  <si>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</si>
  <si>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</si>
  <si>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</si>
  <si>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</si>
  <si>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</si>
  <si>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</si>
  <si>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</si>
  <si>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</si>
  <si>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Take it to Final Propsal</t>
  </si>
  <si>
    <t>can be excluded if need be.</t>
  </si>
  <si>
    <t>On a single click, take the WBS to final propsal as-is without breaking any formatting (as image).</t>
  </si>
  <si>
    <t>Choose between Full or Compact view (all / selective (predefined) ) colums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</si>
  <si>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</si>
  <si>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</si>
  <si>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</si>
  <si>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</si>
  <si>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</si>
  <si>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</si>
  <si>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</si>
  <si>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</si>
  <si>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</si>
  <si>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</si>
  <si>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</si>
  <si>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</si>
  <si>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</si>
  <si>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</si>
  <si>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FOR ARCHITECTS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</si>
  <si>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</si>
  <si>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</si>
  <si>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</si>
  <si>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It does not allow to insert a row. How do I add a row?</t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</si>
  <si>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</si>
  <si>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</si>
  <si>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How to delete a row?</t>
  </si>
  <si>
    <t>Use provided Remove button to remove currently selected row.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</si>
  <si>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</si>
  <si>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</si>
  <si>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</si>
  <si>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</si>
  <si>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</si>
  <si>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</si>
  <si>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But it gives an easy way for moving tasks, activities and even task groups. Use Move Up or Move Down command buttons to move rows up or down.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</si>
  <si>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</si>
  <si>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</si>
  <si>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</si>
  <si>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</si>
  <si>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</si>
  <si>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</si>
  <si>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</si>
  <si>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</si>
  <si>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What each column mean and what I am supposed to write where?</t>
  </si>
  <si>
    <t>There are following columns and what each column mean:</t>
  </si>
  <si>
    <t>Number:</t>
  </si>
  <si>
    <t>This area is semi-editable and shows the section, task group, task and/or activity number. Numbers of only section and task group rows can be edited.</t>
  </si>
  <si>
    <t>Tasks: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</si>
  <si>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</si>
  <si>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</si>
  <si>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</si>
  <si>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</si>
  <si>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</si>
  <si>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</si>
  <si>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Define a unit name here, e.g., Screen, Test Case, Report, % of X, etc.</t>
  </si>
  <si>
    <t>#: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</si>
  <si>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</si>
  <si>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</si>
  <si>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</si>
  <si>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</si>
  <si>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</si>
  <si>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</si>
  <si>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</si>
  <si>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</si>
  <si>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</si>
  <si>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Out of scope / Assumptions:</t>
  </si>
  <si>
    <t>This column lets you define any out of scope activities related to specific task, and relevant assumptions related to specific activity.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</si>
  <si>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</si>
  <si>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</si>
  <si>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</si>
  <si>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</si>
  <si>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</si>
  <si>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</si>
  <si>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M: 50% of 20 = 10</t>
  </si>
  <si>
    <t>10 X 1 = 10 PDs</t>
  </si>
  <si>
    <t>H: 25% of 20 = 5</t>
  </si>
  <si>
    <t>5 X 1.5 = 7.5 PDs</t>
  </si>
  <si>
    <t>(more on this later in next FAQ)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</si>
  <si>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</si>
  <si>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</si>
  <si>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</si>
  <si>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</si>
  <si>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</si>
  <si>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</si>
  <si>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</si>
  <si>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</si>
  <si>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</si>
  <si>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</si>
  <si>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w Extras:</t>
  </si>
  <si>
    <t>This shows additionally added effort based on choices made for rows. This is NON-EDITABLE.</t>
  </si>
  <si>
    <t>This effort is added on +/- adjusted (calculated) effort.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</si>
  <si>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</si>
  <si>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</si>
  <si>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</si>
  <si>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</si>
  <si>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</si>
  <si>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</si>
  <si>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</si>
  <si>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</si>
  <si>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It gives three choices Low, Medium and High. Selecting any one, will add certain % of buffer in the final effort shown.</t>
  </si>
  <si>
    <t>Calculated effort will not be impacted. This value is added on final effort (including any Extras effort).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</si>
  <si>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</si>
  <si>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</si>
  <si>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</si>
  <si>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top of calculated effort which might have reduced using -N value.</t>
  </si>
  <si>
    <t>There are few more columns in Choices and Notes section. What are these?</t>
  </si>
  <si>
    <t>Yes, there are few more. These are:</t>
  </si>
  <si>
    <t>Mark as Optional: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</si>
  <si>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</si>
  <si>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</si>
  <si>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</si>
  <si>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</si>
  <si>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</si>
  <si>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Exclude:</t>
  </si>
  <si>
    <t>To exclude a specific optional / non-optional activity, choose 'Yes" for this column and it will be marked as excluded.</t>
  </si>
  <si>
    <t>All excluded rows *do not* get added in total effort, schedule or cost.</t>
  </si>
  <si>
    <t>Notes:</t>
  </si>
  <si>
    <t>While iterating over estimate, while reviewing etc. This column comes handy and allows writing any sort of notes for the in-progress version of the document.</t>
  </si>
  <si>
    <t>At times, it shows some colored lines on extreme left - what does these mean?</t>
  </si>
  <si>
    <t>Yes, it shows following colored lines:</t>
  </si>
  <si>
    <t>Red:</t>
  </si>
  <si>
    <t>Depicts that either there is some error on this line, or the activity is excluded. Check out the error details on extreme right column.</t>
  </si>
  <si>
    <t>Orange:</t>
  </si>
  <si>
    <t>Depicts that activity is marked as optional.</t>
  </si>
  <si>
    <t>Blue:</t>
  </si>
  <si>
    <t>Marks that "Buffer" is added.</t>
  </si>
  <si>
    <t>Magenta:</t>
  </si>
  <si>
    <t>Marks that "Extras" is added.</t>
  </si>
  <si>
    <t>Yellow:</t>
  </si>
  <si>
    <t>Depicts that some notes / review comments exists on this line.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</si>
  <si>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</si>
  <si>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</si>
  <si>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</si>
  <si>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</si>
  <si>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</si>
  <si>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</si>
  <si>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</si>
  <si>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PRESALES / MMs</t>
  </si>
  <si>
    <t>I want to configure automated scheduling for better. How do I do that?</t>
  </si>
  <si>
    <t>Automated scheduling works based on following three:</t>
  </si>
  <si>
    <t>Role wise distribution / phase: Define a % value for each role. Not all roles will be involved in each phases. This is a generic and average figure.</t>
  </si>
  <si>
    <t>Role wise resource count / phase: Define number of resources that should be put in each phase for each role. This is again an average value.</t>
  </si>
  <si>
    <t>Start next phase after %: This brings in some parrallism, by defining when to start next phase in relation of previous phase completion %.</t>
  </si>
  <si>
    <t>E.g., start designing phase after 75% of requirement phase is done.</t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</si>
  <si>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</si>
  <si>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</si>
  <si>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</si>
  <si>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</si>
  <si>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I have done manual scheduling - but the project management effort is not updated as per new schedule duration. Why?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</si>
  <si>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</si>
  <si>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</si>
  <si>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</si>
  <si>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</si>
  <si>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</si>
  <si>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</si>
  <si>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</si>
  <si>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</si>
  <si>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I want to take the WBS summary in final proposal document. How do I do that?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</si>
  <si>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</si>
  <si>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</si>
  <si>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I want to take full WBS in final proposal document. How do I do that?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</si>
  <si>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</si>
  <si>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</si>
  <si>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</si>
  <si>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</si>
  <si>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FOR SALES</t>
  </si>
  <si>
    <t>I want to squeeze the effort to bare minimum.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</si>
  <si>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</si>
  <si>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</si>
  <si>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</si>
  <si>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</si>
  <si>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increase / decrease effort by a specified %. Can this be done?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</si>
  <si>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</si>
  <si>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</si>
  <si>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</si>
  <si>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</si>
  <si>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</si>
  <si>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</si>
  <si>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</si>
  <si>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</si>
  <si>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FOR ALL</t>
  </si>
  <si>
    <t>I am looking for something else, this is not mentioned here. Where to look for?</t>
  </si>
  <si>
    <t>Please send me a mail at vikas.burman@nagarro.com and I will address that.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</si>
</sst>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"/>
    <numFmt numFmtId="165" formatCode="_(* #,##0_);_(* \(#,##0\);_(* &quot;-&quot;??_);_(@_)"/>
    <numFmt numFmtId="166" formatCode="[$-409]d\-mmm;@"/>
  </numFmts>
  <fonts count="7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5370342112489"/>
        </stop>
        <stop position="1">
          <color theme="2" tint="-9.8025452436902985E-2"/>
        </stop>
      </gradientFill>
    </fill>
    <fill>
      <gradientFill degree="270">
        <stop position="0">
          <color theme="2" tint="-0.25095370342112489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43" fontId="1" fillId="0" borderId="0"/>
    <xf numFmtId="9" fontId="1" fillId="0" borderId="0"/>
    <xf numFmtId="0" fontId="20" fillId="0" borderId="0"/>
  </cellStyleXfs>
  <cellXfs count="339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7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9" xfId="0" applyNumberFormat="1" applyFill="1" applyBorder="1" applyAlignment="1" applyProtection="1">
      <alignment horizontal="right" vertical="top"/>
      <protection locked="0"/>
    </xf>
    <xf numFmtId="0" fontId="0" fillId="5" borderId="9" xfId="0" applyFill="1" applyBorder="1" applyAlignment="1" applyProtection="1">
      <alignment horizontal="right" vertical="top"/>
      <protection locked="0"/>
    </xf>
    <xf numFmtId="9" fontId="0" fillId="5" borderId="9" xfId="0" applyNumberFormat="1" applyFill="1" applyBorder="1" applyAlignment="1" applyProtection="1">
      <alignment horizontal="left" vertical="top"/>
      <protection locked="0"/>
    </xf>
    <xf numFmtId="0" fontId="0" fillId="5" borderId="9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0" fillId="8" borderId="1" xfId="0" applyFill="1" applyBorder="1" applyAlignment="1">
      <alignment vertical="top"/>
    </xf>
    <xf numFmtId="164" fontId="0" fillId="5" borderId="9" xfId="0" applyNumberFormat="1" applyFill="1" applyBorder="1" applyAlignment="1" applyProtection="1">
      <alignment horizontal="center" vertical="top"/>
      <protection locked="0"/>
    </xf>
    <xf numFmtId="164" fontId="0" fillId="5" borderId="9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6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top"/>
    </xf>
    <xf numFmtId="0" fontId="27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29" fillId="13" borderId="0" xfId="0" applyNumberFormat="1" applyFont="1" applyFill="1" applyAlignment="1" applyProtection="1">
      <alignment vertical="center"/>
      <protection locked="0"/>
    </xf>
    <xf numFmtId="0" fontId="30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0" fontId="0" fillId="16" borderId="0" xfId="0" applyFill="1"/>
    <xf numFmtId="164" fontId="0" fillId="5" borderId="9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9" fontId="0" fillId="14" borderId="9" xfId="0" applyNumberFormat="1" applyFill="1" applyBorder="1" applyAlignment="1" applyProtection="1">
      <alignment horizontal="right" vertical="top"/>
      <protection locked="0"/>
    </xf>
    <xf numFmtId="164" fontId="0" fillId="14" borderId="9" xfId="0" applyNumberFormat="1" applyFill="1" applyBorder="1" applyAlignment="1" applyProtection="1">
      <alignment horizontal="right" vertical="top"/>
      <protection locked="0"/>
    </xf>
    <xf numFmtId="15" fontId="2" fillId="5" borderId="11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4" fillId="19" borderId="0" xfId="0" applyFont="1" applyFill="1" applyAlignment="1">
      <alignment vertical="top"/>
    </xf>
    <xf numFmtId="164" fontId="0" fillId="5" borderId="10" xfId="0" applyNumberFormat="1" applyFill="1" applyBorder="1" applyAlignment="1" applyProtection="1">
      <alignment horizontal="right" vertical="top"/>
      <protection locked="0"/>
    </xf>
    <xf numFmtId="164" fontId="0" fillId="14" borderId="10" xfId="0" applyNumberFormat="1" applyFill="1" applyBorder="1" applyAlignment="1" applyProtection="1">
      <alignment horizontal="right" vertical="top"/>
      <protection locked="0"/>
    </xf>
    <xf numFmtId="164" fontId="0" fillId="5" borderId="10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0" fillId="11" borderId="0" xfId="0" applyFill="1"/>
    <xf numFmtId="164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38" fillId="0" borderId="0" xfId="0" applyFont="1" applyAlignment="1">
      <alignment vertical="top" wrapText="1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1" fillId="4" borderId="0" xfId="0" applyFont="1" applyFill="1" applyAlignment="1">
      <alignment vertical="top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2" fillId="9" borderId="0" xfId="0" applyFont="1" applyFill="1" applyAlignment="1">
      <alignment horizontal="right" vertical="center"/>
    </xf>
    <xf numFmtId="0" fontId="32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4" xfId="2" applyFont="1" applyFill="1" applyBorder="1" applyAlignment="1" applyProtection="1">
      <alignment vertical="center"/>
      <protection locked="0"/>
    </xf>
    <xf numFmtId="0" fontId="32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21" fillId="4" borderId="0" xfId="0" applyFont="1" applyFill="1" applyAlignment="1">
      <alignment horizontal="left" vertical="top"/>
    </xf>
    <xf numFmtId="9" fontId="0" fillId="5" borderId="0" xfId="0" applyNumberFormat="1" applyFill="1" applyProtection="1">
      <protection locked="0"/>
    </xf>
    <xf numFmtId="0" fontId="0" fillId="9" borderId="1" xfId="0" applyFill="1" applyBorder="1" applyAlignment="1">
      <alignment vertical="top"/>
    </xf>
    <xf numFmtId="43" fontId="8" fillId="2" borderId="0" xfId="1" applyFont="1" applyFill="1" applyAlignment="1">
      <alignment vertical="center"/>
    </xf>
    <xf numFmtId="43" fontId="0" fillId="6" borderId="4" xfId="1" applyFont="1" applyFill="1" applyBorder="1" applyAlignment="1" applyProtection="1">
      <alignment vertical="top"/>
      <protection locked="0"/>
    </xf>
    <xf numFmtId="2" fontId="0" fillId="2" borderId="4" xfId="0" applyNumberFormat="1" applyFill="1" applyBorder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0" fontId="2" fillId="9" borderId="0" xfId="0" applyFont="1" applyFill="1" applyAlignment="1">
      <alignment horizontal="center" vertical="center"/>
    </xf>
    <xf numFmtId="0" fontId="47" fillId="14" borderId="4" xfId="0" applyFont="1" applyFill="1" applyBorder="1" applyAlignment="1" applyProtection="1">
      <alignment vertical="center"/>
      <protection locked="0"/>
    </xf>
    <xf numFmtId="0" fontId="47" fillId="14" borderId="13" xfId="0" applyFont="1" applyFill="1" applyBorder="1" applyAlignment="1">
      <alignment vertical="center"/>
    </xf>
    <xf numFmtId="165" fontId="54" fillId="4" borderId="0" xfId="1" applyNumberFormat="1" applyFont="1" applyFill="1" applyAlignment="1">
      <alignment vertical="center"/>
    </xf>
    <xf numFmtId="0" fontId="2" fillId="8" borderId="17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2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47" fillId="14" borderId="8" xfId="0" applyFont="1" applyFill="1" applyBorder="1" applyAlignment="1" applyProtection="1">
      <alignment vertical="center"/>
      <protection locked="0"/>
    </xf>
    <xf numFmtId="9" fontId="45" fillId="14" borderId="16" xfId="0" applyNumberFormat="1" applyFont="1" applyFill="1" applyBorder="1" applyAlignment="1" applyProtection="1">
      <alignment horizontal="center" vertical="center"/>
      <protection locked="0"/>
    </xf>
    <xf numFmtId="0" fontId="46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15" fillId="4" borderId="0" xfId="0" applyFont="1" applyFill="1" applyAlignment="1">
      <alignment horizontal="center" vertical="top"/>
    </xf>
    <xf numFmtId="0" fontId="25" fillId="14" borderId="0" xfId="0" applyFont="1" applyFill="1" applyAlignment="1">
      <alignment horizontal="right" vertical="center"/>
    </xf>
    <xf numFmtId="0" fontId="60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4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4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2" fillId="0" borderId="0" xfId="0" applyFont="1" applyAlignment="1">
      <alignment horizontal="right"/>
    </xf>
    <xf numFmtId="9" fontId="14" fillId="8" borderId="15" xfId="0" applyNumberFormat="1" applyFont="1" applyFill="1" applyBorder="1" applyAlignment="1">
      <alignment vertical="top"/>
    </xf>
    <xf numFmtId="164" fontId="0" fillId="5" borderId="9" xfId="2" applyNumberFormat="1" applyFont="1" applyFill="1" applyBorder="1" applyAlignment="1" applyProtection="1">
      <alignment horizontal="right" vertical="top"/>
      <protection locked="0"/>
    </xf>
    <xf numFmtId="164" fontId="0" fillId="14" borderId="9" xfId="2" applyNumberFormat="1" applyFont="1" applyFill="1" applyBorder="1" applyAlignment="1" applyProtection="1">
      <alignment horizontal="right" vertical="top"/>
      <protection locked="0"/>
    </xf>
    <xf numFmtId="164" fontId="0" fillId="5" borderId="10" xfId="2" applyNumberFormat="1" applyFont="1" applyFill="1" applyBorder="1" applyAlignment="1" applyProtection="1">
      <alignment horizontal="right" vertical="top"/>
      <protection locked="0"/>
    </xf>
    <xf numFmtId="0" fontId="70" fillId="0" borderId="0" xfId="0" applyFont="1"/>
    <xf numFmtId="0" fontId="41" fillId="0" borderId="0" xfId="0" applyFont="1"/>
    <xf numFmtId="0" fontId="21" fillId="0" borderId="0" xfId="0" applyFont="1" applyAlignment="1">
      <alignment vertical="top" wrapText="1"/>
    </xf>
    <xf numFmtId="0" fontId="65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20" fillId="0" borderId="0" xfId="3" applyAlignment="1">
      <alignment vertical="top"/>
    </xf>
    <xf numFmtId="0" fontId="73" fillId="2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 wrapText="1"/>
    </xf>
    <xf numFmtId="0" fontId="32" fillId="9" borderId="0" xfId="0" applyFont="1" applyFill="1" applyAlignment="1">
      <alignment vertical="top"/>
    </xf>
    <xf numFmtId="0" fontId="25" fillId="14" borderId="13" xfId="0" applyFont="1" applyFill="1" applyBorder="1" applyAlignment="1">
      <alignment vertical="center"/>
    </xf>
    <xf numFmtId="0" fontId="25" fillId="14" borderId="12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25" fillId="14" borderId="8" xfId="0" applyFont="1" applyFill="1" applyBorder="1" applyAlignment="1">
      <alignment vertical="center"/>
    </xf>
    <xf numFmtId="0" fontId="62" fillId="4" borderId="0" xfId="0" applyFont="1" applyFill="1" applyAlignment="1">
      <alignment vertical="top"/>
    </xf>
    <xf numFmtId="164" fontId="0" fillId="5" borderId="20" xfId="0" applyNumberFormat="1" applyFill="1" applyBorder="1" applyAlignment="1" applyProtection="1">
      <alignment horizontal="left" vertical="top"/>
      <protection locked="0"/>
    </xf>
    <xf numFmtId="0" fontId="0" fillId="4" borderId="14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9" xfId="0" applyNumberFormat="1" applyFill="1" applyBorder="1" applyAlignment="1" applyProtection="1">
      <alignment vertical="top"/>
      <protection locked="0"/>
    </xf>
    <xf numFmtId="9" fontId="0" fillId="5" borderId="11" xfId="0" applyNumberFormat="1" applyFill="1" applyBorder="1" applyAlignment="1" applyProtection="1">
      <alignment vertical="top"/>
      <protection locked="0"/>
    </xf>
    <xf numFmtId="0" fontId="75" fillId="14" borderId="4" xfId="0" applyFont="1" applyFill="1" applyBorder="1" applyAlignment="1">
      <alignment horizontal="right" vertical="center"/>
    </xf>
    <xf numFmtId="0" fontId="74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9" xfId="2" applyFont="1" applyFill="1" applyBorder="1" applyAlignment="1" applyProtection="1">
      <alignment horizontal="right" vertical="top"/>
      <protection locked="0"/>
    </xf>
    <xf numFmtId="9" fontId="0" fillId="14" borderId="9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0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0" fillId="14" borderId="0" xfId="0" applyFill="1" applyAlignment="1">
      <alignment horizontal="left" vertical="top"/>
    </xf>
    <xf numFmtId="0" fontId="44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10" borderId="0" xfId="0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0" xfId="0" applyFont="1" applyFill="1" applyBorder="1" applyAlignment="1" applyProtection="1">
      <alignment horizontal="center" vertical="top"/>
      <protection locked="0"/>
    </xf>
    <xf numFmtId="0" fontId="2" fillId="4" borderId="10" xfId="0" applyFont="1" applyFill="1" applyBorder="1" applyAlignment="1" applyProtection="1">
      <alignment vertical="top"/>
      <protection locked="0"/>
    </xf>
    <xf numFmtId="0" fontId="2" fillId="3" borderId="0" xfId="0" applyFont="1" applyFill="1" applyProtection="1">
      <protection locked="0"/>
    </xf>
    <xf numFmtId="0" fontId="0" fillId="2" borderId="0" xfId="0" applyFill="1" applyProtection="1">
      <protection locked="0"/>
    </xf>
    <xf numFmtId="9" fontId="0" fillId="2" borderId="12" xfId="2" applyFont="1" applyFill="1" applyBorder="1" applyAlignment="1" applyProtection="1">
      <alignment horizontal="left"/>
      <protection locked="0"/>
    </xf>
    <xf numFmtId="0" fontId="48" fillId="14" borderId="0" xfId="0" applyFont="1" applyFill="1" applyAlignment="1" applyProtection="1">
      <alignment horizontal="left" vertical="center"/>
      <protection locked="0"/>
    </xf>
    <xf numFmtId="0" fontId="16" fillId="14" borderId="0" xfId="0" applyFont="1" applyFill="1" applyAlignment="1" applyProtection="1">
      <alignment horizontal="left"/>
      <protection locked="0"/>
    </xf>
    <xf numFmtId="0" fontId="13" fillId="15" borderId="0" xfId="0" applyFont="1" applyFill="1" applyAlignment="1" applyProtection="1">
      <alignment vertical="center"/>
      <protection locked="0"/>
    </xf>
    <xf numFmtId="0" fontId="11" fillId="14" borderId="0" xfId="0" applyFont="1" applyFill="1" applyAlignment="1" applyProtection="1">
      <alignment horizontal="right" vertical="center"/>
      <protection locked="0"/>
    </xf>
    <xf numFmtId="0" fontId="31" fillId="14" borderId="0" xfId="0" applyFont="1" applyFill="1" applyAlignment="1" applyProtection="1">
      <alignment horizontal="right" vertical="center"/>
      <protection locked="0"/>
    </xf>
    <xf numFmtId="0" fontId="2" fillId="14" borderId="0" xfId="0" applyFont="1" applyFill="1" applyAlignment="1" applyProtection="1">
      <alignment horizontal="right" vertical="top"/>
      <protection locked="0"/>
    </xf>
    <xf numFmtId="165" fontId="23" fillId="14" borderId="0" xfId="1" applyNumberFormat="1" applyFont="1" applyFill="1" applyAlignment="1" applyProtection="1">
      <alignment horizontal="left" vertical="center"/>
      <protection locked="0"/>
    </xf>
    <xf numFmtId="0" fontId="48" fillId="14" borderId="8" xfId="0" applyFont="1" applyFill="1" applyBorder="1" applyAlignment="1" applyProtection="1">
      <alignment horizontal="right" vertical="center"/>
      <protection locked="0"/>
    </xf>
    <xf numFmtId="0" fontId="0" fillId="14" borderId="0" xfId="0" applyFill="1" applyAlignment="1" applyProtection="1">
      <alignment vertical="top"/>
      <protection locked="0"/>
    </xf>
    <xf numFmtId="165" fontId="43" fillId="14" borderId="0" xfId="1" applyNumberFormat="1" applyFont="1" applyFill="1" applyAlignment="1" applyProtection="1">
      <alignment horizontal="left" vertical="center"/>
      <protection locked="0"/>
    </xf>
    <xf numFmtId="0" fontId="48" fillId="14" borderId="4" xfId="0" applyFont="1" applyFill="1" applyBorder="1" applyAlignment="1" applyProtection="1">
      <alignment horizontal="right" vertical="center"/>
      <protection locked="0"/>
    </xf>
    <xf numFmtId="0" fontId="32" fillId="9" borderId="0" xfId="0" applyFont="1" applyFill="1" applyAlignment="1" applyProtection="1">
      <alignment horizontal="right" vertical="top"/>
      <protection locked="0"/>
    </xf>
    <xf numFmtId="0" fontId="58" fillId="9" borderId="0" xfId="3" applyFont="1" applyFill="1" applyAlignment="1" applyProtection="1">
      <alignment horizontal="center" vertical="top"/>
      <protection locked="0"/>
    </xf>
    <xf numFmtId="0" fontId="32" fillId="9" borderId="0" xfId="3" applyFont="1" applyFill="1" applyAlignment="1" applyProtection="1">
      <alignment horizontal="right" vertical="top"/>
      <protection locked="0"/>
    </xf>
    <xf numFmtId="0" fontId="30" fillId="11" borderId="0" xfId="0" applyFont="1" applyFill="1" applyAlignment="1" applyProtection="1">
      <alignment horizontal="center" vertical="top" textRotation="90"/>
      <protection locked="0"/>
    </xf>
    <xf numFmtId="0" fontId="2" fillId="8" borderId="0" xfId="0" applyFont="1" applyFill="1" applyAlignment="1" applyProtection="1">
      <alignment horizontal="center" vertical="top"/>
      <protection locked="0"/>
    </xf>
    <xf numFmtId="0" fontId="2" fillId="8" borderId="15" xfId="0" applyFont="1" applyFill="1" applyBorder="1" applyAlignment="1" applyProtection="1">
      <alignment horizontal="center" vertical="top"/>
      <protection locked="0"/>
    </xf>
    <xf numFmtId="9" fontId="14" fillId="8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top"/>
      <protection locked="0"/>
    </xf>
    <xf numFmtId="0" fontId="2" fillId="3" borderId="15" xfId="0" applyFont="1" applyFill="1" applyBorder="1" applyAlignment="1" applyProtection="1">
      <alignment horizontal="center" vertical="top"/>
      <protection locked="0"/>
    </xf>
    <xf numFmtId="0" fontId="2" fillId="3" borderId="1" xfId="0" applyFont="1" applyFill="1" applyBorder="1" applyAlignment="1" applyProtection="1">
      <alignment horizontal="center" vertical="top"/>
      <protection locked="0"/>
    </xf>
    <xf numFmtId="0" fontId="2" fillId="3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 applyProtection="1">
      <alignment horizontal="center" vertical="top" wrapText="1"/>
      <protection locked="0"/>
    </xf>
    <xf numFmtId="0" fontId="2" fillId="3" borderId="17" xfId="0" applyFont="1" applyFill="1" applyBorder="1" applyAlignment="1" applyProtection="1">
      <alignment horizontal="center" vertical="top"/>
      <protection locked="0"/>
    </xf>
    <xf numFmtId="0" fontId="55" fillId="4" borderId="0" xfId="3" applyFont="1" applyFill="1" applyAlignment="1" applyProtection="1">
      <alignment horizontal="center" vertical="top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43" fontId="8" fillId="2" borderId="0" xfId="1" applyFont="1" applyFill="1" applyAlignment="1" applyProtection="1">
      <alignment vertical="center"/>
      <protection locked="0"/>
    </xf>
    <xf numFmtId="0" fontId="11" fillId="6" borderId="0" xfId="0" applyFont="1" applyFill="1" applyAlignment="1" applyProtection="1">
      <alignment vertical="top" wrapText="1"/>
      <protection locked="0"/>
    </xf>
    <xf numFmtId="1" fontId="53" fillId="2" borderId="0" xfId="0" applyNumberFormat="1" applyFont="1" applyFill="1" applyAlignment="1" applyProtection="1">
      <alignment vertical="center"/>
      <protection locked="0"/>
    </xf>
    <xf numFmtId="0" fontId="53" fillId="2" borderId="0" xfId="0" applyFont="1" applyFill="1" applyAlignment="1" applyProtection="1">
      <alignment horizontal="left" vertical="center"/>
      <protection locked="0"/>
    </xf>
    <xf numFmtId="0" fontId="0" fillId="6" borderId="4" xfId="0" applyFill="1" applyBorder="1" applyAlignment="1" applyProtection="1">
      <alignment horizontal="left" vertical="top"/>
      <protection locked="0"/>
    </xf>
    <xf numFmtId="43" fontId="0" fillId="12" borderId="4" xfId="1" applyFon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horizontal="left" vertical="center"/>
      <protection locked="0"/>
    </xf>
    <xf numFmtId="0" fontId="2" fillId="24" borderId="0" xfId="0" applyFont="1" applyFill="1" applyAlignment="1" applyProtection="1">
      <alignment horizontal="left" vertical="top"/>
      <protection locked="0"/>
    </xf>
    <xf numFmtId="0" fontId="2" fillId="24" borderId="0" xfId="0" applyFont="1" applyFill="1" applyAlignment="1" applyProtection="1">
      <alignment vertical="top" wrapText="1"/>
      <protection locked="0"/>
    </xf>
    <xf numFmtId="0" fontId="2" fillId="24" borderId="0" xfId="0" applyFont="1" applyFill="1" applyAlignment="1" applyProtection="1">
      <alignment horizontal="right" vertical="top" wrapText="1"/>
      <protection locked="0"/>
    </xf>
    <xf numFmtId="0" fontId="2" fillId="24" borderId="0" xfId="0" applyFont="1" applyFill="1" applyAlignment="1" applyProtection="1">
      <alignment horizontal="right" vertical="top"/>
      <protection locked="0"/>
    </xf>
    <xf numFmtId="0" fontId="2" fillId="4" borderId="0" xfId="0" applyFont="1" applyFill="1" applyAlignment="1" applyProtection="1">
      <alignment horizontal="right" vertical="top"/>
      <protection locked="0"/>
    </xf>
    <xf numFmtId="0" fontId="57" fillId="4" borderId="0" xfId="3" applyFont="1" applyFill="1" applyAlignment="1" applyProtection="1">
      <alignment horizontal="left" vertical="center"/>
      <protection locked="0"/>
    </xf>
    <xf numFmtId="0" fontId="2" fillId="26" borderId="0" xfId="0" applyFont="1" applyFill="1" applyAlignment="1" applyProtection="1">
      <alignment horizontal="left" vertical="top"/>
      <protection locked="0"/>
    </xf>
    <xf numFmtId="0" fontId="2" fillId="26" borderId="0" xfId="0" applyFont="1" applyFill="1" applyAlignment="1" applyProtection="1">
      <alignment vertical="top" wrapText="1"/>
      <protection locked="0"/>
    </xf>
    <xf numFmtId="0" fontId="2" fillId="26" borderId="0" xfId="0" applyFont="1" applyFill="1" applyAlignment="1" applyProtection="1">
      <alignment vertical="top"/>
      <protection locked="0"/>
    </xf>
    <xf numFmtId="0" fontId="0" fillId="24" borderId="0" xfId="0" applyFill="1" applyAlignment="1" applyProtection="1">
      <alignment horizontal="left" vertical="top"/>
      <protection locked="0"/>
    </xf>
    <xf numFmtId="0" fontId="0" fillId="24" borderId="0" xfId="0" applyFill="1" applyAlignment="1" applyProtection="1">
      <alignment vertical="top" wrapText="1"/>
      <protection locked="0"/>
    </xf>
    <xf numFmtId="165" fontId="2" fillId="24" borderId="0" xfId="1" applyNumberFormat="1" applyFont="1" applyFill="1" applyAlignment="1" applyProtection="1">
      <alignment vertical="top"/>
      <protection locked="0"/>
    </xf>
    <xf numFmtId="1" fontId="0" fillId="4" borderId="11" xfId="0" applyNumberFormat="1" applyFill="1" applyBorder="1" applyAlignment="1" applyProtection="1">
      <alignment vertical="top"/>
      <protection locked="0"/>
    </xf>
    <xf numFmtId="164" fontId="0" fillId="4" borderId="11" xfId="0" applyNumberFormat="1" applyFill="1" applyBorder="1" applyAlignment="1" applyProtection="1">
      <alignment vertical="top"/>
      <protection locked="0"/>
    </xf>
    <xf numFmtId="165" fontId="5" fillId="19" borderId="8" xfId="1" applyNumberFormat="1" applyFont="1" applyFill="1" applyBorder="1" applyAlignment="1" applyProtection="1">
      <alignment vertical="top"/>
      <protection locked="0"/>
    </xf>
    <xf numFmtId="1" fontId="5" fillId="19" borderId="8" xfId="0" applyNumberFormat="1" applyFont="1" applyFill="1" applyBorder="1" applyAlignment="1" applyProtection="1">
      <alignment vertical="top"/>
      <protection locked="0"/>
    </xf>
    <xf numFmtId="0" fontId="2" fillId="4" borderId="13" xfId="0" applyFont="1" applyFill="1" applyBorder="1" applyAlignment="1" applyProtection="1">
      <alignment horizontal="right" vertical="top" wrapText="1"/>
      <protection locked="0"/>
    </xf>
    <xf numFmtId="0" fontId="2" fillId="4" borderId="20" xfId="0" applyFont="1" applyFill="1" applyBorder="1" applyAlignment="1" applyProtection="1">
      <alignment horizontal="right" vertical="top"/>
      <protection locked="0"/>
    </xf>
    <xf numFmtId="15" fontId="0" fillId="4" borderId="9" xfId="0" applyNumberFormat="1" applyFill="1" applyBorder="1" applyAlignment="1" applyProtection="1">
      <alignment vertical="top" wrapText="1"/>
      <protection locked="0"/>
    </xf>
    <xf numFmtId="15" fontId="0" fillId="4" borderId="11" xfId="0" applyNumberFormat="1" applyFill="1" applyBorder="1" applyAlignment="1" applyProtection="1">
      <alignment vertical="top" wrapText="1"/>
      <protection locked="0"/>
    </xf>
    <xf numFmtId="15" fontId="0" fillId="4" borderId="16" xfId="0" applyNumberFormat="1" applyFill="1" applyBorder="1" applyAlignment="1" applyProtection="1">
      <alignment vertical="top" wrapText="1"/>
      <protection locked="0"/>
    </xf>
    <xf numFmtId="15" fontId="2" fillId="4" borderId="10" xfId="0" applyNumberFormat="1" applyFont="1" applyFill="1" applyBorder="1" applyAlignment="1" applyProtection="1">
      <alignment vertical="top" wrapText="1"/>
      <protection locked="0"/>
    </xf>
    <xf numFmtId="0" fontId="34" fillId="19" borderId="0" xfId="0" applyFont="1" applyFill="1" applyAlignment="1" applyProtection="1">
      <alignment horizontal="right" vertical="top"/>
      <protection locked="0"/>
    </xf>
    <xf numFmtId="1" fontId="36" fillId="19" borderId="0" xfId="0" applyNumberFormat="1" applyFont="1" applyFill="1" applyAlignment="1" applyProtection="1">
      <alignment vertical="top"/>
      <protection locked="0"/>
    </xf>
    <xf numFmtId="0" fontId="35" fillId="19" borderId="0" xfId="0" applyFont="1" applyFill="1" applyAlignment="1" applyProtection="1">
      <alignment vertical="top"/>
      <protection locked="0"/>
    </xf>
    <xf numFmtId="0" fontId="34" fillId="19" borderId="0" xfId="0" applyFont="1" applyFill="1" applyAlignment="1" applyProtection="1">
      <alignment horizontal="right" vertical="center"/>
      <protection locked="0"/>
    </xf>
    <xf numFmtId="0" fontId="20" fillId="4" borderId="0" xfId="3" applyFill="1" applyAlignment="1" applyProtection="1">
      <alignment vertical="top" wrapText="1"/>
      <protection locked="0"/>
    </xf>
    <xf numFmtId="0" fontId="0" fillId="8" borderId="0" xfId="0" applyFill="1" applyAlignment="1" applyProtection="1">
      <alignment horizontal="right" vertical="center"/>
      <protection locked="0"/>
    </xf>
    <xf numFmtId="0" fontId="40" fillId="4" borderId="0" xfId="0" applyFont="1" applyFill="1" applyAlignment="1" applyProtection="1">
      <alignment horizontal="right" vertical="top" wrapText="1"/>
      <protection locked="0"/>
    </xf>
    <xf numFmtId="0" fontId="2" fillId="4" borderId="0" xfId="0" applyFont="1" applyFill="1" applyAlignment="1" applyProtection="1">
      <alignment horizontal="right"/>
      <protection locked="0"/>
    </xf>
    <xf numFmtId="0" fontId="40" fillId="4" borderId="0" xfId="0" applyFont="1" applyFill="1" applyAlignment="1" applyProtection="1">
      <alignment horizontal="right" vertical="top"/>
      <protection locked="0"/>
    </xf>
    <xf numFmtId="0" fontId="40" fillId="4" borderId="0" xfId="0" applyFont="1" applyFill="1" applyAlignment="1" applyProtection="1">
      <alignment horizontal="left" vertical="top"/>
      <protection locked="0"/>
    </xf>
    <xf numFmtId="0" fontId="41" fillId="4" borderId="0" xfId="0" applyFont="1" applyFill="1" applyAlignment="1" applyProtection="1">
      <alignment horizontal="right" vertical="top"/>
      <protection locked="0"/>
    </xf>
    <xf numFmtId="0" fontId="21" fillId="4" borderId="0" xfId="0" applyFont="1" applyFill="1" applyAlignment="1" applyProtection="1">
      <alignment horizontal="left" vertical="top"/>
      <protection locked="0"/>
    </xf>
    <xf numFmtId="0" fontId="41" fillId="4" borderId="0" xfId="0" applyFont="1" applyFill="1" applyAlignment="1" applyProtection="1">
      <alignment vertical="top"/>
      <protection locked="0"/>
    </xf>
    <xf numFmtId="0" fontId="49" fillId="4" borderId="0" xfId="0" applyFont="1" applyFill="1" applyAlignment="1" applyProtection="1">
      <alignment horizontal="right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2" borderId="0" xfId="0" applyFont="1" applyFill="1" applyAlignment="1" applyProtection="1">
      <alignment horizontal="right"/>
      <protection locked="0"/>
    </xf>
    <xf numFmtId="0" fontId="2" fillId="0" borderId="0" xfId="0" applyFont="1" applyProtection="1">
      <protection locked="0"/>
    </xf>
    <xf numFmtId="0" fontId="39" fillId="0" borderId="0" xfId="0" applyFont="1" applyAlignment="1" applyProtection="1">
      <alignment horizontal="right"/>
      <protection locked="0"/>
    </xf>
    <xf numFmtId="0" fontId="37" fillId="0" borderId="0" xfId="0" applyFont="1" applyAlignment="1" applyProtection="1">
      <alignment vertical="top"/>
      <protection locked="0"/>
    </xf>
    <xf numFmtId="0" fontId="2" fillId="2" borderId="0" xfId="0" applyFont="1" applyFill="1" applyAlignment="1" applyProtection="1">
      <alignment horizontal="right" vertical="center"/>
      <protection locked="0"/>
    </xf>
    <xf numFmtId="166" fontId="26" fillId="2" borderId="18" xfId="0" applyNumberFormat="1" applyFont="1" applyFill="1" applyBorder="1" applyAlignment="1" applyProtection="1">
      <alignment horizontal="center" textRotation="90"/>
      <protection locked="0"/>
    </xf>
    <xf numFmtId="166" fontId="26" fillId="2" borderId="3" xfId="0" applyNumberFormat="1" applyFont="1" applyFill="1" applyBorder="1" applyAlignment="1" applyProtection="1">
      <alignment horizontal="center" textRotation="90"/>
      <protection locked="0"/>
    </xf>
    <xf numFmtId="166" fontId="26" fillId="2" borderId="19" xfId="0" applyNumberFormat="1" applyFont="1" applyFill="1" applyBorder="1" applyAlignment="1" applyProtection="1">
      <alignment horizontal="center" textRotation="90"/>
      <protection locked="0"/>
    </xf>
    <xf numFmtId="0" fontId="2" fillId="11" borderId="0" xfId="0" applyFont="1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0" fontId="52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59" fillId="0" borderId="0" xfId="0" applyFont="1" applyAlignment="1" applyProtection="1">
      <alignment horizontal="right" vertical="top"/>
      <protection locked="0"/>
    </xf>
    <xf numFmtId="0" fontId="21" fillId="0" borderId="0" xfId="0" applyFont="1" applyAlignment="1" applyProtection="1">
      <alignment vertical="top"/>
      <protection locked="0"/>
    </xf>
    <xf numFmtId="0" fontId="66" fillId="0" borderId="0" xfId="0" applyFont="1" applyAlignment="1" applyProtection="1">
      <alignment vertical="top"/>
      <protection locked="0"/>
    </xf>
    <xf numFmtId="0" fontId="64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top"/>
      <protection locked="0"/>
    </xf>
    <xf numFmtId="0" fontId="72" fillId="0" borderId="0" xfId="0" applyFont="1" applyProtection="1">
      <protection locked="0"/>
    </xf>
    <xf numFmtId="0" fontId="69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68" fillId="0" borderId="0" xfId="0" applyFont="1" applyProtection="1">
      <protection locked="0"/>
    </xf>
    <xf numFmtId="0" fontId="71" fillId="0" borderId="0" xfId="0" applyFont="1" applyProtection="1">
      <protection locked="0"/>
    </xf>
    <xf numFmtId="0" fontId="67" fillId="0" borderId="0" xfId="0" applyFont="1" applyProtection="1">
      <protection locked="0"/>
    </xf>
    <xf numFmtId="0" fontId="2" fillId="9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5" fontId="36" fillId="19" borderId="0" xfId="0" applyNumberFormat="1" applyFont="1" applyFill="1" applyAlignment="1" applyProtection="1">
      <alignment horizontal="left" vertical="center" wrapText="1"/>
      <protection locked="0"/>
    </xf>
    <xf numFmtId="165" fontId="6" fillId="10" borderId="0" xfId="1" applyNumberFormat="1" applyFont="1" applyFill="1" applyAlignment="1" applyProtection="1">
      <alignment horizontal="right" vertical="center"/>
      <protection locked="0"/>
    </xf>
    <xf numFmtId="0" fontId="33" fillId="4" borderId="4" xfId="0" applyFont="1" applyFill="1" applyBorder="1" applyAlignment="1" applyProtection="1">
      <alignment horizontal="center" vertical="center"/>
      <protection locked="0"/>
    </xf>
    <xf numFmtId="0" fontId="0" fillId="0" borderId="4" xfId="0" applyBorder="1" applyProtection="1"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165" fontId="7" fillId="13" borderId="0" xfId="1" applyNumberFormat="1" applyFont="1" applyFill="1" applyAlignment="1" applyProtection="1">
      <alignment horizontal="left" vertical="center" indent="1"/>
      <protection locked="0"/>
    </xf>
    <xf numFmtId="0" fontId="2" fillId="8" borderId="21" xfId="0" applyFont="1" applyFill="1" applyBorder="1" applyAlignment="1" applyProtection="1">
      <alignment horizontal="center" vertical="top"/>
      <protection locked="0"/>
    </xf>
    <xf numFmtId="0" fontId="0" fillId="0" borderId="6" xfId="0" applyBorder="1" applyProtection="1">
      <protection locked="0"/>
    </xf>
    <xf numFmtId="0" fontId="0" fillId="0" borderId="5" xfId="0" applyBorder="1" applyProtection="1">
      <protection locked="0"/>
    </xf>
    <xf numFmtId="165" fontId="0" fillId="4" borderId="9" xfId="1" applyNumberFormat="1" applyFont="1" applyFill="1" applyBorder="1" applyAlignment="1" applyProtection="1">
      <alignment horizontal="center" vertical="top"/>
      <protection locked="0"/>
    </xf>
    <xf numFmtId="0" fontId="0" fillId="0" borderId="11" xfId="0" applyBorder="1" applyProtection="1">
      <protection locked="0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56" fillId="2" borderId="0" xfId="3" applyFont="1" applyFill="1" applyAlignment="1" applyProtection="1">
      <alignment horizont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55" fillId="4" borderId="0" xfId="3" applyFont="1" applyFill="1" applyAlignment="1" applyProtection="1">
      <alignment horizontal="center" vertical="top"/>
      <protection locked="0"/>
    </xf>
    <xf numFmtId="165" fontId="5" fillId="19" borderId="8" xfId="1" applyNumberFormat="1" applyFont="1" applyFill="1" applyBorder="1" applyAlignment="1" applyProtection="1">
      <alignment horizontal="center" vertical="top"/>
      <protection locked="0"/>
    </xf>
    <xf numFmtId="0" fontId="0" fillId="0" borderId="8" xfId="0" applyBorder="1" applyProtection="1">
      <protection locked="0"/>
    </xf>
    <xf numFmtId="0" fontId="61" fillId="4" borderId="0" xfId="0" applyFont="1" applyFill="1" applyAlignment="1" applyProtection="1">
      <alignment horizontal="right" vertical="top" wrapText="1"/>
      <protection locked="0"/>
    </xf>
    <xf numFmtId="0" fontId="42" fillId="4" borderId="0" xfId="0" applyFont="1" applyFill="1" applyAlignment="1" applyProtection="1">
      <alignment horizontal="left" vertical="top" wrapText="1"/>
      <protection locked="0"/>
    </xf>
    <xf numFmtId="165" fontId="51" fillId="9" borderId="0" xfId="1" applyNumberFormat="1" applyFont="1" applyFill="1" applyAlignment="1" applyProtection="1">
      <alignment horizontal="right" vertical="top"/>
      <protection locked="0"/>
    </xf>
    <xf numFmtId="165" fontId="0" fillId="4" borderId="23" xfId="1" applyNumberFormat="1" applyFont="1" applyFill="1" applyBorder="1" applyAlignment="1" applyProtection="1">
      <alignment horizontal="center" vertical="top"/>
      <protection locked="0"/>
    </xf>
    <xf numFmtId="0" fontId="0" fillId="0" borderId="13" xfId="0" applyBorder="1" applyProtection="1">
      <protection locked="0"/>
    </xf>
    <xf numFmtId="0" fontId="33" fillId="4" borderId="22" xfId="0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protection locked="0"/>
    </xf>
    <xf numFmtId="0" fontId="19" fillId="19" borderId="8" xfId="0" applyFont="1" applyFill="1" applyBorder="1" applyAlignment="1" applyProtection="1">
      <alignment horizontal="center" vertical="top"/>
      <protection locked="0"/>
    </xf>
    <xf numFmtId="0" fontId="0" fillId="4" borderId="0" xfId="0" applyFill="1" applyAlignment="1" applyProtection="1">
      <alignment horizontal="left" vertical="top" wrapText="1"/>
      <protection locked="0"/>
    </xf>
    <xf numFmtId="0" fontId="62" fillId="4" borderId="4" xfId="0" applyFont="1" applyFill="1" applyBorder="1" applyAlignment="1" applyProtection="1">
      <alignment horizontal="center" vertical="top"/>
      <protection locked="0"/>
    </xf>
    <xf numFmtId="0" fontId="2" fillId="9" borderId="6" xfId="0" applyFont="1" applyFill="1" applyBorder="1" applyAlignment="1" applyProtection="1">
      <alignment horizontal="center" vertical="top"/>
      <protection locked="0"/>
    </xf>
    <xf numFmtId="165" fontId="6" fillId="10" borderId="0" xfId="1" applyNumberFormat="1" applyFont="1" applyFill="1" applyAlignment="1" applyProtection="1">
      <alignment horizontal="center" vertical="center"/>
      <protection locked="0"/>
    </xf>
    <xf numFmtId="0" fontId="63" fillId="4" borderId="0" xfId="0" applyFont="1" applyFill="1" applyAlignment="1" applyProtection="1">
      <alignment horizontal="left" vertical="top" wrapText="1"/>
      <protection locked="0"/>
    </xf>
    <xf numFmtId="0" fontId="50" fillId="2" borderId="0" xfId="0" applyFont="1" applyFill="1" applyAlignment="1" applyProtection="1">
      <alignment horizontal="center" textRotation="90"/>
      <protection locked="0"/>
    </xf>
    <xf numFmtId="0" fontId="0" fillId="4" borderId="0" xfId="0" applyFill="1" applyAlignment="1" applyProtection="1">
      <alignment horizontal="right" vertical="top" wrapText="1"/>
      <protection locked="0"/>
    </xf>
    <xf numFmtId="15" fontId="0" fillId="14" borderId="0" xfId="0" applyNumberFormat="1" applyFill="1" applyAlignment="1" applyProtection="1">
      <alignment horizontal="left" vertical="top"/>
      <protection locked="0"/>
    </xf>
    <xf numFmtId="0" fontId="2" fillId="3" borderId="2" xfId="0" applyFont="1" applyFill="1" applyBorder="1" applyAlignment="1" applyProtection="1">
      <alignment horizontal="center" vertical="top"/>
      <protection locked="0"/>
    </xf>
    <xf numFmtId="0" fontId="0" fillId="0" borderId="2" xfId="0" applyBorder="1" applyProtection="1">
      <protection locked="0"/>
    </xf>
    <xf numFmtId="0" fontId="2" fillId="14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 applyProtection="1">
      <alignment horizontal="right" wrapText="1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5" xfId="0" applyFont="1" applyFill="1" applyBorder="1" applyAlignment="1" applyProtection="1">
      <alignment horizontal="center"/>
      <protection locked="0"/>
    </xf>
    <xf numFmtId="15" fontId="0" fillId="0" borderId="0" xfId="0" applyNumberFormat="1" applyAlignment="1" applyProtection="1">
      <alignment horizontal="center"/>
      <protection locked="0"/>
    </xf>
    <xf numFmtId="15" fontId="0" fillId="5" borderId="0" xfId="0" applyNumberFormat="1" applyFill="1" applyAlignment="1" applyProtection="1">
      <alignment horizontal="left"/>
      <protection locked="0"/>
    </xf>
    <xf numFmtId="0" fontId="64" fillId="0" borderId="0" xfId="0" applyFont="1" applyAlignment="1" applyProtection="1">
      <alignment horizontal="left" vertical="center"/>
      <protection locked="0"/>
    </xf>
    <xf numFmtId="0" fontId="65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right" vertical="top" wrapText="1"/>
      <protection locked="0"/>
    </xf>
  </cellXfs>
  <cellStyles count="4">
    <cellStyle name="Comma" xfId="1" builtinId="3"/>
    <cellStyle name="Hyperlink" xfId="3" builtinId="8"/>
    <cellStyle name="Normal" xfId="0" builtinId="0"/>
    <cellStyle name="Per cent" xfId="2" builtinId="5"/>
  </cellStyles>
  <dxfs count="106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31224658064548572"/>
          <c:y val="0.26311006357607369"/>
          <c:w val="0.43439250997337919"/>
          <c:h val="0.45355678900473162"/>
        </c:manualLayout>
      </c:layout>
      <c:pie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Estimation!$L$227:$L$232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Estimation!$O$227:$O$232</c:f>
              <c:numCache>
                <c:formatCode>0</c:formatCode>
                <c:ptCount val="6"/>
                <c:pt idx="0">
                  <c:v>116</c:v>
                </c:pt>
                <c:pt idx="1">
                  <c:v>53</c:v>
                </c:pt>
                <c:pt idx="2">
                  <c:v>104</c:v>
                </c:pt>
                <c:pt idx="3">
                  <c:v>109</c:v>
                </c:pt>
                <c:pt idx="4">
                  <c:v>22</c:v>
                </c:pt>
                <c:pt idx="5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2-6146-A913-C983C1C4AEB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89647</xdr:colOff>
      <xdr:row>225</xdr:row>
      <xdr:rowOff>100852</xdr:rowOff>
    </xdr:from>
    <xdr:to>
      <xdr:col>26</xdr:col>
      <xdr:colOff>515471</xdr:colOff>
      <xdr:row>233</xdr:row>
      <xdr:rowOff>22411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</xdr:row>
          <xdr:rowOff>25400</xdr:rowOff>
        </xdr:from>
        <xdr:to>
          <xdr:col>13</xdr:col>
          <xdr:colOff>152400</xdr:colOff>
          <xdr:row>9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9CD89C1-62C6-BAC3-CB43-FFAD94F67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254000</xdr:colOff>
          <xdr:row>8</xdr:row>
          <xdr:rowOff>25400</xdr:rowOff>
        </xdr:from>
        <xdr:to>
          <xdr:col>13</xdr:col>
          <xdr:colOff>1638300</xdr:colOff>
          <xdr:row>9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988ECB8-39C2-0AEC-C615-814928F8B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3200400</xdr:colOff>
          <xdr:row>8</xdr:row>
          <xdr:rowOff>25400</xdr:rowOff>
        </xdr:from>
        <xdr:to>
          <xdr:col>13</xdr:col>
          <xdr:colOff>3251200</xdr:colOff>
          <xdr:row>9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7C0EF77-DF41-51A6-CE7B-5BDF67168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4673600</xdr:colOff>
          <xdr:row>8</xdr:row>
          <xdr:rowOff>25400</xdr:rowOff>
        </xdr:from>
        <xdr:to>
          <xdr:col>14</xdr:col>
          <xdr:colOff>381000</xdr:colOff>
          <xdr:row>9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43BCF1D-7299-EAAE-5776-3448B4F06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8</xdr:row>
          <xdr:rowOff>25400</xdr:rowOff>
        </xdr:from>
        <xdr:to>
          <xdr:col>15</xdr:col>
          <xdr:colOff>25400</xdr:colOff>
          <xdr:row>9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DBD9F59B-96C2-BB34-A963-456CA8FDA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1714500</xdr:colOff>
          <xdr:row>8</xdr:row>
          <xdr:rowOff>25400</xdr:rowOff>
        </xdr:from>
        <xdr:to>
          <xdr:col>13</xdr:col>
          <xdr:colOff>3111500</xdr:colOff>
          <xdr:row>9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2A362316-51A9-51A3-A322-8751E427C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>
          <a:fillRect/>
        </a:stretch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629400" y="3222626"/>
          <a:ext cx="1219200" cy="1352550"/>
          <a:chOff x="7297293" y="2273427"/>
          <a:chExt cx="1511046" cy="247650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>
            <a:fillRect/>
          </a:stretch>
        </xdr:blipFill>
        <xdr:spPr>
          <a:xfrm>
            <a:off x="8034528" y="2273427"/>
            <a:ext cx="773811" cy="24765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496050" y="18538825"/>
          <a:ext cx="6374695" cy="2819048"/>
          <a:chOff x="5734050" y="18554700"/>
          <a:chExt cx="5638095" cy="2819048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r="5129" b="21728"/>
          <a:stretch>
            <a:fillRect/>
          </a:stretch>
        </xdr:blipFill>
        <xdr:spPr>
          <a:xfrm>
            <a:off x="10201275" y="20031075"/>
            <a:ext cx="1057275" cy="17145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229225" y="27320875"/>
          <a:ext cx="7311219" cy="1257143"/>
          <a:chOff x="4619625" y="27336750"/>
          <a:chExt cx="6447619" cy="1257143"/>
        </a:xfrm>
      </xdr:grpSpPr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  <a:ln>
            <a:prstDash val="solid"/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vikas.burman@nagarr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baseColWidth="10" defaultColWidth="8.83203125" defaultRowHeight="15" outlineLevelRow="1" x14ac:dyDescent="0.2"/>
  <cols>
    <col min="1" max="1" width="3.83203125" customWidth="1"/>
    <col min="2" max="2" width="14.1640625" customWidth="1"/>
    <col min="3" max="3" width="32.33203125" customWidth="1"/>
  </cols>
  <sheetData>
    <row r="2" spans="2:3" collapsed="1" x14ac:dyDescent="0.2">
      <c r="B2" s="195" t="s">
        <v>410</v>
      </c>
      <c r="C2" s="3"/>
    </row>
    <row r="3" spans="2:3" hidden="1" outlineLevel="1" x14ac:dyDescent="0.2">
      <c r="B3" s="196" t="s">
        <v>57</v>
      </c>
      <c r="C3" s="1"/>
    </row>
    <row r="4" spans="2:3" hidden="1" outlineLevel="1" x14ac:dyDescent="0.2">
      <c r="B4" s="196" t="s">
        <v>56</v>
      </c>
      <c r="C4" s="1"/>
    </row>
    <row r="5" spans="2:3" hidden="1" outlineLevel="1" x14ac:dyDescent="0.2">
      <c r="B5" s="196" t="s">
        <v>411</v>
      </c>
      <c r="C5" s="1"/>
    </row>
    <row r="7" spans="2:3" collapsed="1" x14ac:dyDescent="0.2">
      <c r="B7" s="195" t="s">
        <v>412</v>
      </c>
      <c r="C7" s="3"/>
    </row>
    <row r="8" spans="2:3" hidden="1" outlineLevel="1" x14ac:dyDescent="0.2">
      <c r="B8" s="196" t="s">
        <v>57</v>
      </c>
      <c r="C8" s="1"/>
    </row>
    <row r="9" spans="2:3" hidden="1" outlineLevel="1" x14ac:dyDescent="0.2">
      <c r="B9" s="196" t="s">
        <v>327</v>
      </c>
      <c r="C9" s="1"/>
    </row>
    <row r="10" spans="2:3" hidden="1" outlineLevel="1" x14ac:dyDescent="0.2">
      <c r="B10" s="196" t="s">
        <v>332</v>
      </c>
      <c r="C10" s="1"/>
    </row>
    <row r="11" spans="2:3" hidden="1" outlineLevel="1" x14ac:dyDescent="0.2">
      <c r="B11" s="196" t="s">
        <v>413</v>
      </c>
      <c r="C11" s="1"/>
    </row>
    <row r="12" spans="2:3" hidden="1" outlineLevel="1" x14ac:dyDescent="0.2">
      <c r="B12" s="196" t="s">
        <v>414</v>
      </c>
      <c r="C12" s="1"/>
    </row>
    <row r="13" spans="2:3" hidden="1" outlineLevel="1" x14ac:dyDescent="0.2">
      <c r="B13" s="196" t="s">
        <v>328</v>
      </c>
      <c r="C13" s="1"/>
    </row>
    <row r="14" spans="2:3" hidden="1" outlineLevel="1" x14ac:dyDescent="0.2">
      <c r="B14" s="196" t="s">
        <v>329</v>
      </c>
      <c r="C14" s="1"/>
    </row>
    <row r="15" spans="2:3" hidden="1" outlineLevel="1" x14ac:dyDescent="0.2">
      <c r="B15" s="196" t="s">
        <v>330</v>
      </c>
      <c r="C15" s="1"/>
    </row>
    <row r="16" spans="2:3" hidden="1" outlineLevel="1" x14ac:dyDescent="0.2">
      <c r="B16" s="196" t="s">
        <v>331</v>
      </c>
      <c r="C16" s="1"/>
    </row>
    <row r="18" spans="2:3" collapsed="1" x14ac:dyDescent="0.2">
      <c r="B18" s="195" t="s">
        <v>415</v>
      </c>
      <c r="C18" s="3"/>
    </row>
    <row r="19" spans="2:3" hidden="1" outlineLevel="1" x14ac:dyDescent="0.2">
      <c r="B19" s="196" t="s">
        <v>57</v>
      </c>
      <c r="C19" s="1"/>
    </row>
    <row r="20" spans="2:3" hidden="1" outlineLevel="1" x14ac:dyDescent="0.2">
      <c r="B20" s="196" t="s">
        <v>363</v>
      </c>
      <c r="C20" s="1"/>
    </row>
    <row r="21" spans="2:3" hidden="1" outlineLevel="1" x14ac:dyDescent="0.2">
      <c r="B21" s="196" t="s">
        <v>416</v>
      </c>
      <c r="C21" s="1"/>
    </row>
    <row r="22" spans="2:3" hidden="1" outlineLevel="1" x14ac:dyDescent="0.2">
      <c r="B22" s="196" t="s">
        <v>417</v>
      </c>
      <c r="C22" s="1"/>
    </row>
    <row r="23" spans="2:3" hidden="1" outlineLevel="1" x14ac:dyDescent="0.2">
      <c r="B23" s="196" t="s">
        <v>418</v>
      </c>
      <c r="C23" s="1"/>
    </row>
    <row r="24" spans="2:3" hidden="1" outlineLevel="1" x14ac:dyDescent="0.2">
      <c r="B24" s="196" t="s">
        <v>419</v>
      </c>
      <c r="C24" s="1"/>
    </row>
    <row r="26" spans="2:3" collapsed="1" x14ac:dyDescent="0.2">
      <c r="B26" s="195" t="s">
        <v>420</v>
      </c>
      <c r="C26" s="3"/>
    </row>
    <row r="27" spans="2:3" hidden="1" outlineLevel="1" x14ac:dyDescent="0.2">
      <c r="B27" s="196" t="s">
        <v>57</v>
      </c>
      <c r="C27" s="1"/>
    </row>
    <row r="28" spans="2:3" hidden="1" outlineLevel="1" x14ac:dyDescent="0.2">
      <c r="B28" s="196" t="s">
        <v>365</v>
      </c>
      <c r="C28" s="1"/>
    </row>
    <row r="29" spans="2:3" hidden="1" outlineLevel="1" x14ac:dyDescent="0.2">
      <c r="B29" s="196" t="s">
        <v>421</v>
      </c>
      <c r="C29" s="1"/>
    </row>
    <row r="31" spans="2:3" collapsed="1" x14ac:dyDescent="0.2">
      <c r="B31" s="195" t="s">
        <v>422</v>
      </c>
      <c r="C31" s="2"/>
    </row>
    <row r="32" spans="2:3" hidden="1" outlineLevel="1" x14ac:dyDescent="0.2">
      <c r="B32" s="196" t="s">
        <v>57</v>
      </c>
      <c r="C32" s="1"/>
    </row>
    <row r="33" spans="2:3" hidden="1" outlineLevel="1" x14ac:dyDescent="0.2">
      <c r="B33" s="196" t="s">
        <v>358</v>
      </c>
      <c r="C33" s="1"/>
    </row>
    <row r="34" spans="2:3" hidden="1" outlineLevel="1" x14ac:dyDescent="0.2">
      <c r="B34" s="196" t="s">
        <v>423</v>
      </c>
      <c r="C34" s="1"/>
    </row>
    <row r="35" spans="2:3" hidden="1" outlineLevel="1" x14ac:dyDescent="0.2">
      <c r="B35" s="196" t="s">
        <v>424</v>
      </c>
      <c r="C35" s="1"/>
    </row>
    <row r="37" spans="2:3" collapsed="1" x14ac:dyDescent="0.2">
      <c r="B37" s="195" t="s">
        <v>425</v>
      </c>
      <c r="C37" s="2"/>
    </row>
    <row r="38" spans="2:3" hidden="1" outlineLevel="1" x14ac:dyDescent="0.2">
      <c r="B38" s="196" t="s">
        <v>57</v>
      </c>
      <c r="C38" s="1"/>
    </row>
    <row r="39" spans="2:3" hidden="1" outlineLevel="1" x14ac:dyDescent="0.2">
      <c r="B39" s="196" t="s">
        <v>356</v>
      </c>
      <c r="C39" s="1"/>
    </row>
    <row r="40" spans="2:3" hidden="1" outlineLevel="1" x14ac:dyDescent="0.2">
      <c r="B40" s="196" t="s">
        <v>426</v>
      </c>
      <c r="C40" s="1"/>
    </row>
    <row r="41" spans="2:3" hidden="1" outlineLevel="1" x14ac:dyDescent="0.2">
      <c r="B41" s="196" t="s">
        <v>427</v>
      </c>
      <c r="C41" s="1"/>
    </row>
    <row r="42" spans="2:3" hidden="1" outlineLevel="1" x14ac:dyDescent="0.2">
      <c r="B42" s="196" t="s">
        <v>428</v>
      </c>
      <c r="C42" s="1"/>
    </row>
    <row r="44" spans="2:3" collapsed="1" x14ac:dyDescent="0.2">
      <c r="B44" s="195" t="s">
        <v>429</v>
      </c>
      <c r="C44" s="3"/>
    </row>
    <row r="45" spans="2:3" hidden="1" outlineLevel="1" x14ac:dyDescent="0.2">
      <c r="B45" s="196" t="s">
        <v>57</v>
      </c>
      <c r="C45" s="1"/>
    </row>
    <row r="46" spans="2:3" hidden="1" outlineLevel="1" x14ac:dyDescent="0.2">
      <c r="B46" s="196" t="s">
        <v>430</v>
      </c>
      <c r="C46" s="1"/>
    </row>
    <row r="47" spans="2:3" hidden="1" outlineLevel="1" x14ac:dyDescent="0.2">
      <c r="B47" s="196" t="s">
        <v>431</v>
      </c>
      <c r="C47" s="1"/>
    </row>
    <row r="48" spans="2:3" hidden="1" outlineLevel="1" x14ac:dyDescent="0.2">
      <c r="B48" s="196" t="s">
        <v>432</v>
      </c>
      <c r="C48" s="1"/>
    </row>
    <row r="50" spans="2:3" collapsed="1" x14ac:dyDescent="0.2">
      <c r="B50" s="195" t="s">
        <v>433</v>
      </c>
      <c r="C50" s="2"/>
    </row>
    <row r="51" spans="2:3" hidden="1" outlineLevel="1" x14ac:dyDescent="0.2">
      <c r="B51" s="196" t="s">
        <v>434</v>
      </c>
      <c r="C51" s="197">
        <f>IF(MIN_EFFORT_PERCENT &lt; 0, MIN_EFFORT_PERCENT, MIN_EFFORT_PERCENT*-1)</f>
        <v>-0.2</v>
      </c>
    </row>
    <row r="52" spans="2:3" hidden="1" outlineLevel="1" x14ac:dyDescent="0.2">
      <c r="B52" s="196" t="s">
        <v>435</v>
      </c>
      <c r="C52" s="197">
        <f>CUSTOM_PERCENT*-1</f>
        <v>-0.25</v>
      </c>
    </row>
    <row r="53" spans="2:3" hidden="1" outlineLevel="1" x14ac:dyDescent="0.2">
      <c r="B53" s="196" t="s">
        <v>6</v>
      </c>
      <c r="C53" s="197">
        <v>0</v>
      </c>
    </row>
    <row r="54" spans="2:3" hidden="1" outlineLevel="1" x14ac:dyDescent="0.2">
      <c r="B54" s="196" t="s">
        <v>436</v>
      </c>
      <c r="C54" s="197">
        <f>CUSTOM_PERCENT</f>
        <v>0.25</v>
      </c>
    </row>
    <row r="55" spans="2:3" hidden="1" outlineLevel="1" x14ac:dyDescent="0.2">
      <c r="B55" s="196" t="s">
        <v>437</v>
      </c>
      <c r="C55" s="197">
        <f>MAX_EFFORT_PERCENT</f>
        <v>0.2</v>
      </c>
    </row>
    <row r="57" spans="2:3" collapsed="1" x14ac:dyDescent="0.2">
      <c r="B57" s="195" t="s">
        <v>438</v>
      </c>
      <c r="C57" s="2"/>
    </row>
    <row r="58" spans="2:3" hidden="1" outlineLevel="1" x14ac:dyDescent="0.2">
      <c r="B58" s="196" t="s">
        <v>12</v>
      </c>
      <c r="C58" s="1"/>
    </row>
    <row r="59" spans="2:3" hidden="1" outlineLevel="1" x14ac:dyDescent="0.2">
      <c r="B59" s="196" t="s">
        <v>31</v>
      </c>
      <c r="C59" s="1"/>
    </row>
  </sheetData>
  <pageMargins left="0.7" right="0.7" top="0.75" bottom="0.75" header="0.3" footer="0.3"/>
  <pageSetup orientation="portrait" horizontalDpi="4294967295" verticalDpi="4294967295"/>
  <headerFooter>
    <oddFooter>&amp;L_x000D_&amp;1#&amp;"Arial"&amp;7&amp;KDAD4CE 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382"/>
  <sheetViews>
    <sheetView showGridLines="0" tabSelected="1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N31" sqref="N31"/>
    </sheetView>
  </sheetViews>
  <sheetFormatPr baseColWidth="10" defaultColWidth="9.1640625" defaultRowHeight="15" outlineLevelRow="2" outlineLevelCol="1" x14ac:dyDescent="0.2"/>
  <cols>
    <col min="1" max="1" width="1" style="70" customWidth="1"/>
    <col min="2" max="2" width="1" style="6" customWidth="1"/>
    <col min="3" max="5" width="1" style="58" customWidth="1"/>
    <col min="6" max="6" width="3" style="58" customWidth="1" collapsed="1"/>
    <col min="7" max="8" width="8.5" style="13" hidden="1" customWidth="1" outlineLevel="1"/>
    <col min="9" max="9" width="7.1640625" style="13" hidden="1" customWidth="1" outlineLevel="1"/>
    <col min="10" max="10" width="7.6640625" style="13" hidden="1" customWidth="1" outlineLevel="1"/>
    <col min="11" max="11" width="37.5" style="13" hidden="1" customWidth="1" outlineLevel="1"/>
    <col min="12" max="12" width="3.83203125" style="13" customWidth="1"/>
    <col min="13" max="13" width="5.6640625" style="191" customWidth="1"/>
    <col min="14" max="14" width="42.6640625" style="20" customWidth="1"/>
    <col min="15" max="15" width="13.1640625" style="20" customWidth="1"/>
    <col min="16" max="16" width="17.1640625" style="13" customWidth="1"/>
    <col min="17" max="17" width="7" style="13" customWidth="1"/>
    <col min="18" max="18" width="6.5" style="13" customWidth="1"/>
    <col min="19" max="19" width="12" style="13" customWidth="1"/>
    <col min="20" max="20" width="10.6640625" style="13" customWidth="1"/>
    <col min="21" max="21" width="6.83203125" style="13" customWidth="1" outlineLevel="1"/>
    <col min="22" max="22" width="6.1640625" style="13" customWidth="1" outlineLevel="1"/>
    <col min="23" max="23" width="6" style="13" customWidth="1" outlineLevel="1"/>
    <col min="24" max="24" width="11.6640625" style="13" customWidth="1" outlineLevel="1"/>
    <col min="25" max="25" width="11" style="13" customWidth="1" outlineLevel="1"/>
    <col min="26" max="26" width="6.5" style="13" customWidth="1" outlineLevel="1"/>
    <col min="27" max="27" width="11" style="13" customWidth="1" outlineLevel="1"/>
    <col min="28" max="28" width="35.6640625" style="20" customWidth="1"/>
    <col min="29" max="29" width="1.5" style="7" customWidth="1"/>
    <col min="30" max="30" width="19" style="7" customWidth="1"/>
    <col min="31" max="32" width="9.1640625" style="13" customWidth="1"/>
    <col min="33" max="16384" width="9.1640625" style="13"/>
  </cols>
  <sheetData>
    <row r="1" spans="1:30" s="6" customFormat="1" ht="4.5" customHeight="1" x14ac:dyDescent="0.2">
      <c r="A1" s="70"/>
      <c r="C1" s="56"/>
      <c r="D1" s="56"/>
      <c r="E1" s="56"/>
      <c r="F1" s="56"/>
      <c r="M1" s="180"/>
      <c r="N1" s="7"/>
      <c r="O1" s="7"/>
      <c r="AB1" s="7"/>
      <c r="AC1" s="7"/>
      <c r="AD1" s="7"/>
    </row>
    <row r="2" spans="1:30" s="6" customFormat="1" ht="4.5" customHeight="1" x14ac:dyDescent="0.2">
      <c r="A2" s="70"/>
      <c r="C2" s="325" t="s">
        <v>0</v>
      </c>
      <c r="D2" s="294"/>
      <c r="E2" s="294"/>
      <c r="F2" s="294"/>
      <c r="G2" s="103"/>
      <c r="H2" s="103"/>
      <c r="I2" s="103"/>
      <c r="J2" s="103"/>
      <c r="K2" s="103"/>
      <c r="L2" s="103"/>
      <c r="M2" s="181"/>
      <c r="N2" s="104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7"/>
    </row>
    <row r="3" spans="1:30" s="6" customFormat="1" ht="23.25" customHeight="1" x14ac:dyDescent="0.3">
      <c r="A3" s="70"/>
      <c r="C3" s="294"/>
      <c r="D3" s="294"/>
      <c r="E3" s="294"/>
      <c r="F3" s="294"/>
      <c r="G3" s="330" t="s">
        <v>1</v>
      </c>
      <c r="H3" s="294"/>
      <c r="I3" s="294"/>
      <c r="J3" s="294"/>
      <c r="K3" s="198" t="s">
        <v>2</v>
      </c>
      <c r="L3" s="71"/>
      <c r="M3" s="199">
        <f>IF(IS_KEY_OPP="Yes", 2, IF(IS_KEY_OPP="No", 0, 1))</f>
        <v>2</v>
      </c>
      <c r="N3" s="200" t="str">
        <f>CLIENT_NAME&amp;" - "&amp;PROJECT_NAME&amp;" ("&amp;PLATFORM&amp;" "&amp;PROJECT_TYPE&amp;" Project)"&amp;IF(RFP_NAME&lt;&gt;"", " - "&amp;RFP_NAME, "")</f>
        <v>YCompany - Retail Inventory Management Software System (RIMSS) (Web Development Project) - YCompany RIMSS Storefront</v>
      </c>
      <c r="O3" s="105"/>
      <c r="P3" s="105"/>
      <c r="Q3" s="105"/>
      <c r="R3" s="105"/>
      <c r="S3" s="132"/>
      <c r="T3" s="201" t="str">
        <f>IF(COUNTIF(AD9:AD203, "Error:*") = 0, "", COUNTIF(AD9:AD203, "Error:*") &amp; " errors")</f>
        <v/>
      </c>
      <c r="U3" s="105"/>
      <c r="V3" s="105"/>
      <c r="W3" s="105"/>
      <c r="X3" s="202" t="s">
        <v>3</v>
      </c>
      <c r="Y3" s="137" t="s">
        <v>10</v>
      </c>
      <c r="Z3" s="139"/>
      <c r="AA3" s="138"/>
      <c r="AB3" s="171"/>
      <c r="AC3" s="71"/>
      <c r="AD3" s="7"/>
    </row>
    <row r="4" spans="1:30" s="6" customFormat="1" ht="4.5" customHeight="1" x14ac:dyDescent="0.2">
      <c r="A4" s="70"/>
      <c r="C4" s="294"/>
      <c r="D4" s="294"/>
      <c r="E4" s="294"/>
      <c r="F4" s="294"/>
      <c r="G4" s="71"/>
      <c r="H4" s="71"/>
      <c r="I4" s="71"/>
      <c r="J4" s="71"/>
      <c r="K4" s="71"/>
      <c r="L4" s="71"/>
      <c r="M4" s="182"/>
      <c r="N4" s="72"/>
      <c r="O4" s="71"/>
      <c r="P4" s="71"/>
      <c r="Q4" s="133"/>
      <c r="R4" s="71"/>
      <c r="S4" s="134"/>
      <c r="T4" s="170"/>
      <c r="U4" s="105"/>
      <c r="V4" s="105"/>
      <c r="W4" s="105"/>
      <c r="X4" s="136"/>
      <c r="Y4" s="137"/>
      <c r="Z4" s="139"/>
      <c r="AA4" s="139"/>
      <c r="AB4" s="71"/>
      <c r="AC4" s="71"/>
      <c r="AD4" s="7"/>
    </row>
    <row r="5" spans="1:30" s="6" customFormat="1" ht="20.25" customHeight="1" x14ac:dyDescent="0.2">
      <c r="A5" s="70"/>
      <c r="C5" s="294"/>
      <c r="D5" s="294"/>
      <c r="E5" s="294"/>
      <c r="F5" s="294"/>
      <c r="G5" s="71"/>
      <c r="H5" s="143"/>
      <c r="I5" s="203" t="s">
        <v>4</v>
      </c>
      <c r="J5" s="327">
        <v>46168.888460949071</v>
      </c>
      <c r="K5" s="294"/>
      <c r="L5" s="71"/>
      <c r="M5" s="182"/>
      <c r="N5" s="204" t="str">
        <f>IF(TOTAL_EFFORT&lt;=0, "", CHOSEN_CURRENCY&amp;" "&amp;TEXT(CEILING(($W$233/1000),1),"##,##,###")&amp;" K  ●  "&amp;TEXT(TOTAL_EFFORT,"##,##,###")&amp;" PDs ("&amp;TEXT(TOTAL_WEEKS,"##,###"&amp;" Wk)"))</f>
        <v>USD 100 K  ●  445 PDs (89 Wk)</v>
      </c>
      <c r="O5" s="160"/>
      <c r="P5" s="159"/>
      <c r="Q5" s="163"/>
      <c r="R5" s="205" t="s">
        <v>5</v>
      </c>
      <c r="S5" s="130" t="s">
        <v>6</v>
      </c>
      <c r="T5" s="131">
        <v>0.25</v>
      </c>
      <c r="U5" s="105"/>
      <c r="V5" s="105"/>
      <c r="W5" s="105"/>
      <c r="X5" s="202" t="s">
        <v>7</v>
      </c>
      <c r="Y5" s="137" t="s">
        <v>10</v>
      </c>
      <c r="Z5" s="138"/>
      <c r="AA5" s="138"/>
      <c r="AB5" s="331" t="s">
        <v>8</v>
      </c>
      <c r="AC5" s="73"/>
      <c r="AD5" s="7"/>
    </row>
    <row r="6" spans="1:30" s="6" customFormat="1" ht="20.25" customHeight="1" x14ac:dyDescent="0.2">
      <c r="A6" s="70"/>
      <c r="C6" s="294"/>
      <c r="D6" s="294"/>
      <c r="E6" s="294"/>
      <c r="F6" s="294"/>
      <c r="G6" s="71"/>
      <c r="H6" s="143"/>
      <c r="I6" s="203" t="s">
        <v>9</v>
      </c>
      <c r="J6" s="206" t="s">
        <v>10</v>
      </c>
      <c r="K6" s="71"/>
      <c r="L6" s="71"/>
      <c r="M6" s="183"/>
      <c r="N6" s="207" t="str">
        <f>IF(TOTAL_EFFORT&lt;=0, "", "Auto: "&amp;DURATION&amp;" Wk  ("&amp;CEILING(DURATION/4,0.5)&amp;" M)"&amp;", Manual: "&amp;MANUAL_DURATION&amp;" Wk ("&amp;CEILING(MANUAL_DURATION/4,0.5)&amp;" M)")</f>
        <v>Auto: 32.4 Wk  (8.5 M), Manual: 32 Wk (8 M)</v>
      </c>
      <c r="O6" s="161"/>
      <c r="P6" s="159"/>
      <c r="Q6" s="158"/>
      <c r="R6" s="208" t="s">
        <v>11</v>
      </c>
      <c r="S6" s="121" t="s">
        <v>12</v>
      </c>
      <c r="T6" s="122"/>
      <c r="U6" s="105"/>
      <c r="V6" s="105"/>
      <c r="W6" s="105"/>
      <c r="X6" s="202" t="s">
        <v>13</v>
      </c>
      <c r="Y6" s="137" t="s">
        <v>10</v>
      </c>
      <c r="Z6" s="138"/>
      <c r="AA6" s="138"/>
      <c r="AB6" s="294"/>
      <c r="AC6" s="73"/>
      <c r="AD6" s="7"/>
    </row>
    <row r="7" spans="1:30" s="6" customFormat="1" ht="4.5" customHeight="1" x14ac:dyDescent="0.2">
      <c r="A7" s="70"/>
      <c r="C7" s="294"/>
      <c r="D7" s="294"/>
      <c r="E7" s="294"/>
      <c r="F7" s="294"/>
      <c r="G7" s="71"/>
      <c r="H7" s="71"/>
      <c r="I7" s="71"/>
      <c r="J7" s="71"/>
      <c r="K7" s="71"/>
      <c r="L7" s="71"/>
      <c r="M7" s="182"/>
      <c r="N7" s="72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"/>
    </row>
    <row r="8" spans="1:30" s="6" customFormat="1" ht="1.5" customHeight="1" x14ac:dyDescent="0.2">
      <c r="A8" s="70"/>
      <c r="C8" s="294"/>
      <c r="D8" s="294"/>
      <c r="E8" s="294"/>
      <c r="F8" s="294"/>
      <c r="G8" s="8"/>
      <c r="H8" s="8"/>
      <c r="I8" s="8"/>
      <c r="J8" s="8"/>
      <c r="K8" s="8"/>
      <c r="L8" s="8"/>
      <c r="M8" s="184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7"/>
      <c r="AC8" s="7"/>
      <c r="AD8" s="7"/>
    </row>
    <row r="9" spans="1:30" s="6" customFormat="1" ht="15" customHeight="1" x14ac:dyDescent="0.2">
      <c r="A9" s="70"/>
      <c r="C9" s="294"/>
      <c r="D9" s="294"/>
      <c r="E9" s="294"/>
      <c r="F9" s="294"/>
      <c r="G9" s="322" t="s">
        <v>14</v>
      </c>
      <c r="H9" s="302"/>
      <c r="I9" s="302"/>
      <c r="J9" s="302"/>
      <c r="K9" s="113"/>
      <c r="L9" s="108"/>
      <c r="M9" s="185"/>
      <c r="N9" s="35"/>
      <c r="O9" s="35"/>
      <c r="P9" s="35"/>
      <c r="Q9" s="157"/>
      <c r="R9" s="209" t="s">
        <v>15</v>
      </c>
      <c r="S9" s="210" t="s">
        <v>16</v>
      </c>
      <c r="T9" s="210" t="s">
        <v>17</v>
      </c>
      <c r="U9" s="157"/>
      <c r="V9" s="157"/>
      <c r="W9" s="157"/>
      <c r="X9" s="35"/>
      <c r="Y9" s="35"/>
      <c r="Z9" s="35"/>
      <c r="AA9" s="35"/>
      <c r="AB9" s="211" t="s">
        <v>18</v>
      </c>
      <c r="AC9" s="35"/>
      <c r="AD9" s="7"/>
    </row>
    <row r="10" spans="1:30" s="6" customFormat="1" ht="13.5" customHeight="1" x14ac:dyDescent="0.2">
      <c r="A10" s="212" t="s">
        <v>19</v>
      </c>
      <c r="C10" s="307" t="s">
        <v>20</v>
      </c>
      <c r="D10" s="294"/>
      <c r="E10" s="294"/>
      <c r="F10" s="294"/>
      <c r="G10" s="213" t="s">
        <v>21</v>
      </c>
      <c r="H10" s="214" t="s">
        <v>22</v>
      </c>
      <c r="I10" s="40"/>
      <c r="J10" s="124"/>
      <c r="K10" s="41"/>
      <c r="L10" s="96"/>
      <c r="M10" s="186"/>
      <c r="N10" s="32"/>
      <c r="O10" s="129"/>
      <c r="P10" s="301" t="s">
        <v>23</v>
      </c>
      <c r="Q10" s="302"/>
      <c r="R10" s="303"/>
      <c r="S10" s="33"/>
      <c r="T10" s="162"/>
      <c r="U10" s="301" t="s">
        <v>24</v>
      </c>
      <c r="V10" s="302"/>
      <c r="W10" s="303"/>
      <c r="X10" s="215" t="s">
        <v>25</v>
      </c>
      <c r="Y10" s="54"/>
      <c r="Z10" s="34"/>
      <c r="AA10" s="145"/>
      <c r="AB10" s="32"/>
      <c r="AC10" s="32"/>
      <c r="AD10" s="7"/>
    </row>
    <row r="11" spans="1:30" s="6" customFormat="1" ht="15" customHeight="1" x14ac:dyDescent="0.2">
      <c r="A11" s="212" t="s">
        <v>26</v>
      </c>
      <c r="C11" s="307" t="s">
        <v>27</v>
      </c>
      <c r="D11" s="294"/>
      <c r="E11" s="294"/>
      <c r="F11" s="294"/>
      <c r="G11" s="216" t="s">
        <v>28</v>
      </c>
      <c r="H11" s="217" t="s">
        <v>29</v>
      </c>
      <c r="I11" s="216" t="s">
        <v>30</v>
      </c>
      <c r="J11" s="217" t="s">
        <v>31</v>
      </c>
      <c r="K11" s="218" t="s">
        <v>32</v>
      </c>
      <c r="L11" s="55"/>
      <c r="M11" s="219" t="s">
        <v>33</v>
      </c>
      <c r="N11" s="55"/>
      <c r="O11" s="220" t="s">
        <v>34</v>
      </c>
      <c r="P11" s="218" t="s">
        <v>35</v>
      </c>
      <c r="Q11" s="221" t="s">
        <v>36</v>
      </c>
      <c r="R11" s="217" t="s">
        <v>37</v>
      </c>
      <c r="S11" s="328" t="s">
        <v>38</v>
      </c>
      <c r="T11" s="329"/>
      <c r="U11" s="216" t="s">
        <v>39</v>
      </c>
      <c r="V11" s="216" t="s">
        <v>40</v>
      </c>
      <c r="W11" s="216" t="s">
        <v>41</v>
      </c>
      <c r="X11" s="217" t="s">
        <v>23</v>
      </c>
      <c r="Y11" s="218" t="s">
        <v>42</v>
      </c>
      <c r="Z11" s="217" t="s">
        <v>43</v>
      </c>
      <c r="AA11" s="217" t="s">
        <v>44</v>
      </c>
      <c r="AB11" s="128" t="s">
        <v>45</v>
      </c>
      <c r="AC11" s="5"/>
      <c r="AD11" s="7"/>
    </row>
    <row r="12" spans="1:30" s="11" customFormat="1" ht="18.5" customHeight="1" x14ac:dyDescent="0.2">
      <c r="A12" s="212" t="s">
        <v>46</v>
      </c>
      <c r="B12" s="9"/>
      <c r="C12" s="309" t="s">
        <v>47</v>
      </c>
      <c r="D12" s="294"/>
      <c r="E12" s="294"/>
      <c r="F12" s="222" t="s">
        <v>48</v>
      </c>
      <c r="G12" s="44"/>
      <c r="H12" s="44"/>
      <c r="I12" s="44"/>
      <c r="J12" s="44"/>
      <c r="K12" s="44"/>
      <c r="L12" s="44" t="s">
        <v>49</v>
      </c>
      <c r="M12" s="187" t="s">
        <v>50</v>
      </c>
      <c r="N12" s="140"/>
      <c r="O12" s="46"/>
      <c r="P12" s="47"/>
      <c r="Q12" s="47"/>
      <c r="R12" s="47"/>
      <c r="S12" s="296">
        <f>CEILING(SUMIF(J13:J64, "&lt;&gt;Yes", T13:T64),1)</f>
        <v>116</v>
      </c>
      <c r="T12" s="294"/>
      <c r="U12" s="47"/>
      <c r="V12" s="47"/>
      <c r="W12" s="47"/>
      <c r="X12" s="47"/>
      <c r="Y12" s="47"/>
      <c r="Z12" s="47"/>
      <c r="AA12" s="47"/>
      <c r="AB12" s="47"/>
      <c r="AC12" s="47"/>
      <c r="AD12" s="10"/>
    </row>
    <row r="13" spans="1:30" s="6" customFormat="1" ht="3" customHeight="1" outlineLevel="1" x14ac:dyDescent="0.2">
      <c r="A13" s="212" t="s">
        <v>51</v>
      </c>
      <c r="B13" s="12"/>
      <c r="C13" s="135"/>
      <c r="D13" s="135"/>
      <c r="E13" s="135"/>
      <c r="F13" s="135"/>
      <c r="G13" s="21"/>
      <c r="H13" s="21"/>
      <c r="I13" s="21"/>
      <c r="J13" s="21"/>
      <c r="K13" s="21"/>
      <c r="L13" s="53">
        <v>0</v>
      </c>
      <c r="M13" s="188"/>
      <c r="N13" s="21"/>
      <c r="O13" s="21"/>
      <c r="P13" s="21"/>
      <c r="Q13" s="21"/>
      <c r="R13" s="21"/>
      <c r="S13" s="21"/>
      <c r="T13" s="22"/>
      <c r="U13" s="21"/>
      <c r="V13" s="21"/>
      <c r="W13" s="21"/>
      <c r="X13" s="22"/>
      <c r="Y13" s="21"/>
      <c r="Z13" s="21"/>
      <c r="AA13" s="21"/>
      <c r="AB13" s="23"/>
      <c r="AC13" s="23"/>
      <c r="AD13" s="7"/>
    </row>
    <row r="14" spans="1:30" s="11" customFormat="1" ht="15.5" customHeight="1" outlineLevel="1" x14ac:dyDescent="0.2">
      <c r="A14" s="212" t="s">
        <v>52</v>
      </c>
      <c r="B14" s="14"/>
      <c r="C14" s="61"/>
      <c r="D14" s="61"/>
      <c r="E14" s="61"/>
      <c r="F14" s="60"/>
      <c r="G14" s="24"/>
      <c r="H14" s="24"/>
      <c r="I14" s="24"/>
      <c r="J14" s="24"/>
      <c r="K14" s="24"/>
      <c r="L14" s="223">
        <f ca="1">LOOKUP(1000,INDIRECT("L1:"&amp;CELL("address",INDIRECT("R[-1]C",FALSE))))+1</f>
        <v>1</v>
      </c>
      <c r="M14" s="299" t="s">
        <v>53</v>
      </c>
      <c r="N14" s="294"/>
      <c r="O14" s="4"/>
      <c r="P14" s="25"/>
      <c r="Q14" s="25"/>
      <c r="R14" s="25"/>
      <c r="S14" s="25"/>
      <c r="T14" s="225">
        <f>IF($S$6="Exclude", SUMIFS(S15:S19, J15:J19, "&lt;&gt;Yes", G15:G19, "&lt;&gt;Yes"), SUMIFS(S15:S19, J15:J19, "&lt;&gt;Yes"))</f>
        <v>31.5</v>
      </c>
      <c r="U14" s="25"/>
      <c r="V14" s="25"/>
      <c r="W14" s="25"/>
      <c r="X14" s="26"/>
      <c r="Y14" s="27"/>
      <c r="Z14" s="27"/>
      <c r="AA14" s="27"/>
      <c r="AB14" s="155"/>
      <c r="AC14" s="28"/>
      <c r="AD14" s="226" t="str">
        <f>IF(M14="", "Error: Task name cannot be empty.", "")</f>
        <v/>
      </c>
    </row>
    <row r="15" spans="1:30" s="9" customFormat="1" ht="1.5" customHeight="1" outlineLevel="2" x14ac:dyDescent="0.2">
      <c r="A15" s="212" t="s">
        <v>54</v>
      </c>
      <c r="B15" s="14"/>
      <c r="C15" s="61"/>
      <c r="D15" s="61"/>
      <c r="E15" s="61"/>
      <c r="F15" s="60"/>
      <c r="G15" s="24"/>
      <c r="H15" s="24"/>
      <c r="I15" s="24"/>
      <c r="J15" s="24"/>
      <c r="K15" s="24"/>
      <c r="L15" s="227">
        <f ca="1">L14</f>
        <v>1</v>
      </c>
      <c r="M15" s="228" t="s">
        <v>55</v>
      </c>
      <c r="N15" s="118"/>
      <c r="O15" s="119"/>
      <c r="P15" s="25"/>
      <c r="Q15" s="25"/>
      <c r="R15" s="25"/>
      <c r="S15" s="25"/>
      <c r="T15" s="114"/>
      <c r="U15" s="25"/>
      <c r="V15" s="25"/>
      <c r="W15" s="25"/>
      <c r="X15" s="26"/>
      <c r="Y15" s="27"/>
      <c r="Z15" s="27"/>
      <c r="AA15" s="27"/>
      <c r="AB15" s="28"/>
      <c r="AC15" s="28"/>
      <c r="AD15" s="19"/>
    </row>
    <row r="16" spans="1:30" ht="43.5" customHeight="1" outlineLevel="2" x14ac:dyDescent="0.2">
      <c r="A16" s="212" t="s">
        <v>49</v>
      </c>
      <c r="B16" s="14"/>
      <c r="C16" s="62"/>
      <c r="D16" s="62"/>
      <c r="E16" s="62"/>
      <c r="F16" s="63"/>
      <c r="G16" s="15" t="s">
        <v>56</v>
      </c>
      <c r="H16" s="15" t="s">
        <v>57</v>
      </c>
      <c r="I16" s="16" t="s">
        <v>57</v>
      </c>
      <c r="J16" s="15" t="s">
        <v>57</v>
      </c>
      <c r="K16" s="30" t="s">
        <v>58</v>
      </c>
      <c r="L16" s="15"/>
      <c r="M16" s="229" t="str">
        <f ca="1">IFERROR(OFFSET(M16,-1,,1,1)+0.1,OFFSET(M16,-1,-1,1,1)&amp;".1")</f>
        <v>1.1</v>
      </c>
      <c r="N16" s="16" t="s">
        <v>59</v>
      </c>
      <c r="O16" s="16" t="s">
        <v>60</v>
      </c>
      <c r="P16" s="16"/>
      <c r="Q16" s="100">
        <v>1</v>
      </c>
      <c r="R16" s="95"/>
      <c r="S16" s="230">
        <f>CEILING((IF(J16="Yes", 0, IF(H16="-",AA16,AA16+AA16*VLOOKUP(H16,BUFFERS_BY_TYPE,2,FALSE)))) +
   (IF(J16="Yes", 0, IF(H16="-",AA16,AA16+AA16*VLOOKUP(H16,BUFFERS_BY_TYPE,2,FALSE))))*VLOOKUP($S$5, SALES_CALL_SCALE_ARRAY, 2,FALSE),0.25)</f>
        <v>20</v>
      </c>
      <c r="T16" s="116"/>
      <c r="U16" s="17">
        <v>0</v>
      </c>
      <c r="V16" s="17">
        <v>1</v>
      </c>
      <c r="W16" s="17">
        <v>0</v>
      </c>
      <c r="X16" s="115">
        <v>20</v>
      </c>
      <c r="Y16" s="230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20</v>
      </c>
      <c r="Z16" s="18"/>
      <c r="AA16" s="230">
        <f>Y16+Y16*VLOOKUP(I16,EXTRAS_ARRAY,2,FALSE)</f>
        <v>20</v>
      </c>
      <c r="AB16" s="16" t="s">
        <v>61</v>
      </c>
      <c r="AC16" s="29"/>
      <c r="AD16" s="2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43.5" customHeight="1" outlineLevel="2" x14ac:dyDescent="0.2">
      <c r="A17" s="212" t="s">
        <v>49</v>
      </c>
      <c r="B17" s="14"/>
      <c r="C17" s="62"/>
      <c r="D17" s="62"/>
      <c r="E17" s="62"/>
      <c r="F17" s="63"/>
      <c r="G17" s="15" t="s">
        <v>57</v>
      </c>
      <c r="H17" s="15" t="s">
        <v>57</v>
      </c>
      <c r="I17" s="16" t="s">
        <v>57</v>
      </c>
      <c r="J17" s="15" t="s">
        <v>57</v>
      </c>
      <c r="K17" s="30"/>
      <c r="L17" s="15"/>
      <c r="M17" s="229">
        <f ca="1">IFERROR(OFFSET(M17,-1,,1,1)+0.1,OFFSET(M17,-1,-1,1,1)&amp;".1")</f>
        <v>1.2000000000000002</v>
      </c>
      <c r="N17" s="16" t="s">
        <v>62</v>
      </c>
      <c r="O17" s="16" t="s">
        <v>63</v>
      </c>
      <c r="P17" s="16"/>
      <c r="Q17" s="100">
        <v>1</v>
      </c>
      <c r="R17" s="95"/>
      <c r="S17" s="230">
        <f>CEILING((IF(J17="Yes", 0, IF(H17="-",AA17,AA17+AA17*VLOOKUP(H17,BUFFERS_BY_TYPE,2,FALSE)))) +
   (IF(J17="Yes", 0, IF(H17="-",AA17,AA17+AA17*VLOOKUP(H17,BUFFERS_BY_TYPE,2,FALSE))))*VLOOKUP($S$5, SALES_CALL_SCALE_ARRAY, 2,FALSE),0.25)</f>
        <v>4</v>
      </c>
      <c r="T17" s="116"/>
      <c r="U17" s="17">
        <v>0</v>
      </c>
      <c r="V17" s="17">
        <v>1</v>
      </c>
      <c r="W17" s="17">
        <v>0</v>
      </c>
      <c r="X17" s="115">
        <v>4</v>
      </c>
      <c r="Y17" s="230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4</v>
      </c>
      <c r="Z17" s="18"/>
      <c r="AA17" s="230">
        <f>Y17+Y17*VLOOKUP(I17,EXTRAS_ARRAY,2,FALSE)</f>
        <v>4</v>
      </c>
      <c r="AB17" s="16" t="s">
        <v>64</v>
      </c>
      <c r="AC17" s="29"/>
      <c r="AD17" s="2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customHeight="1" outlineLevel="2" x14ac:dyDescent="0.2">
      <c r="A18" s="212" t="s">
        <v>49</v>
      </c>
      <c r="B18" s="14"/>
      <c r="C18" s="62"/>
      <c r="D18" s="62"/>
      <c r="E18" s="62"/>
      <c r="F18" s="63"/>
      <c r="G18" s="15" t="s">
        <v>57</v>
      </c>
      <c r="H18" s="15" t="s">
        <v>57</v>
      </c>
      <c r="I18" s="16" t="s">
        <v>57</v>
      </c>
      <c r="J18" s="15" t="s">
        <v>57</v>
      </c>
      <c r="K18" s="30"/>
      <c r="L18" s="15"/>
      <c r="M18" s="229">
        <f ca="1">IFERROR(OFFSET(M18,-1,,1,1)+0.1,OFFSET(M18,-1,-1,1,1)&amp;".1")</f>
        <v>1.3000000000000003</v>
      </c>
      <c r="N18" s="16" t="s">
        <v>65</v>
      </c>
      <c r="O18" s="16" t="s">
        <v>66</v>
      </c>
      <c r="P18" s="16" t="s">
        <v>66</v>
      </c>
      <c r="Q18" s="100">
        <f>Total_Use_Cases</f>
        <v>75</v>
      </c>
      <c r="R18" s="95"/>
      <c r="S18" s="230">
        <f>CEILING((IF(J18="Yes", 0, IF(H18="-",AA18,AA18+AA18*VLOOKUP(H18,BUFFERS_BY_TYPE,2,FALSE)))) +
   (IF(J18="Yes", 0, IF(H18="-",AA18,AA18+AA18*VLOOKUP(H18,BUFFERS_BY_TYPE,2,FALSE))))*VLOOKUP($S$5, SALES_CALL_SCALE_ARRAY, 2,FALSE),0.25)</f>
        <v>7.5</v>
      </c>
      <c r="T18" s="116"/>
      <c r="U18" s="17">
        <v>0</v>
      </c>
      <c r="V18" s="17">
        <v>1</v>
      </c>
      <c r="W18" s="17">
        <v>0</v>
      </c>
      <c r="X18" s="115">
        <v>0.1</v>
      </c>
      <c r="Y18" s="230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7.5</v>
      </c>
      <c r="Z18" s="18"/>
      <c r="AA18" s="230">
        <f>Y18+Y18*VLOOKUP(I18,EXTRAS_ARRAY,2,FALSE)</f>
        <v>7.5</v>
      </c>
      <c r="AB18" s="16" t="s">
        <v>67</v>
      </c>
      <c r="AC18" s="29"/>
      <c r="AD18" s="2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6" customFormat="1" ht="7.5" customHeight="1" outlineLevel="2" x14ac:dyDescent="0.2">
      <c r="A19" s="212" t="s">
        <v>68</v>
      </c>
      <c r="B19" s="12"/>
      <c r="C19" s="56"/>
      <c r="D19" s="56"/>
      <c r="E19" s="56"/>
      <c r="F19" s="56"/>
      <c r="M19" s="180"/>
      <c r="T19" s="12"/>
      <c r="X19" s="12"/>
      <c r="AB19" s="7"/>
      <c r="AC19" s="7"/>
      <c r="AD19" s="7"/>
    </row>
    <row r="20" spans="1:30" s="11" customFormat="1" ht="15.5" customHeight="1" outlineLevel="1" x14ac:dyDescent="0.2">
      <c r="A20" s="212" t="s">
        <v>52</v>
      </c>
      <c r="B20" s="14"/>
      <c r="C20" s="61"/>
      <c r="D20" s="61"/>
      <c r="E20" s="61"/>
      <c r="F20" s="60"/>
      <c r="G20" s="24"/>
      <c r="H20" s="24"/>
      <c r="I20" s="24"/>
      <c r="J20" s="24"/>
      <c r="K20" s="24"/>
      <c r="L20" s="223">
        <f ca="1">LOOKUP(1000,INDIRECT("L1:"&amp;CELL("address",INDIRECT("R[-1]C",FALSE))))+1</f>
        <v>2</v>
      </c>
      <c r="M20" s="299" t="s">
        <v>69</v>
      </c>
      <c r="N20" s="294"/>
      <c r="O20" s="4"/>
      <c r="P20" s="25"/>
      <c r="Q20" s="25"/>
      <c r="R20" s="25"/>
      <c r="S20" s="25"/>
      <c r="T20" s="225">
        <f>IF($S$6="Exclude", SUMIFS(S21:S25, J21:J25, "&lt;&gt;Yes", G21:G25, "&lt;&gt;Yes"), SUMIFS(S21:S25, J21:J25, "&lt;&gt;Yes"))</f>
        <v>13.5</v>
      </c>
      <c r="U20" s="25"/>
      <c r="V20" s="25"/>
      <c r="W20" s="25"/>
      <c r="X20" s="26"/>
      <c r="Y20" s="27"/>
      <c r="Z20" s="27"/>
      <c r="AA20" s="27"/>
      <c r="AB20" s="155"/>
      <c r="AC20" s="28"/>
      <c r="AD20" s="226" t="str">
        <f>IF(M20="", "Error: Task name cannot be empty.", "")</f>
        <v/>
      </c>
    </row>
    <row r="21" spans="1:30" s="9" customFormat="1" ht="1.5" customHeight="1" outlineLevel="2" x14ac:dyDescent="0.2">
      <c r="A21" s="212" t="s">
        <v>54</v>
      </c>
      <c r="B21" s="14"/>
      <c r="C21" s="61"/>
      <c r="D21" s="61"/>
      <c r="E21" s="61"/>
      <c r="F21" s="60"/>
      <c r="G21" s="24"/>
      <c r="H21" s="24"/>
      <c r="I21" s="24"/>
      <c r="J21" s="24"/>
      <c r="K21" s="24"/>
      <c r="L21" s="227">
        <f ca="1">L20</f>
        <v>2</v>
      </c>
      <c r="M21" s="228" t="s">
        <v>55</v>
      </c>
      <c r="N21" s="118"/>
      <c r="O21" s="119"/>
      <c r="P21" s="25"/>
      <c r="Q21" s="25"/>
      <c r="R21" s="25"/>
      <c r="S21" s="25"/>
      <c r="T21" s="114"/>
      <c r="U21" s="25"/>
      <c r="V21" s="25"/>
      <c r="W21" s="25"/>
      <c r="X21" s="26"/>
      <c r="Y21" s="27"/>
      <c r="Z21" s="27"/>
      <c r="AA21" s="27"/>
      <c r="AB21" s="28"/>
      <c r="AC21" s="28"/>
      <c r="AD21" s="19"/>
    </row>
    <row r="22" spans="1:30" ht="43.5" customHeight="1" outlineLevel="2" x14ac:dyDescent="0.2">
      <c r="A22" s="212" t="s">
        <v>49</v>
      </c>
      <c r="B22" s="14"/>
      <c r="C22" s="62"/>
      <c r="D22" s="62"/>
      <c r="E22" s="62"/>
      <c r="F22" s="63"/>
      <c r="G22" s="15" t="s">
        <v>57</v>
      </c>
      <c r="H22" s="15" t="s">
        <v>57</v>
      </c>
      <c r="I22" s="16" t="s">
        <v>57</v>
      </c>
      <c r="J22" s="15" t="s">
        <v>57</v>
      </c>
      <c r="K22" s="30"/>
      <c r="L22" s="15"/>
      <c r="M22" s="229" t="str">
        <f ca="1">IFERROR(OFFSET(M22,-1,,1,1)+0.1,OFFSET(M22,-1,-1,1,1)&amp;".1")</f>
        <v>2.1</v>
      </c>
      <c r="N22" s="16" t="s">
        <v>70</v>
      </c>
      <c r="O22" s="16" t="s">
        <v>71</v>
      </c>
      <c r="P22" s="16"/>
      <c r="Q22" s="100">
        <v>1</v>
      </c>
      <c r="R22" s="95"/>
      <c r="S22" s="230">
        <f>CEILING((IF(J22="Yes", 0, IF(H22="-",AA22,AA22+AA22*VLOOKUP(H22,BUFFERS_BY_TYPE,2,FALSE)))) +
   (IF(J22="Yes", 0, IF(H22="-",AA22,AA22+AA22*VLOOKUP(H22,BUFFERS_BY_TYPE,2,FALSE))))*VLOOKUP($S$5, SALES_CALL_SCALE_ARRAY, 2,FALSE),0.25)</f>
        <v>2</v>
      </c>
      <c r="T22" s="116"/>
      <c r="U22" s="17">
        <v>0</v>
      </c>
      <c r="V22" s="17">
        <v>1</v>
      </c>
      <c r="W22" s="17">
        <v>0</v>
      </c>
      <c r="X22" s="115">
        <v>2</v>
      </c>
      <c r="Y22" s="230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2</v>
      </c>
      <c r="Z22" s="18"/>
      <c r="AA22" s="230">
        <f>Y22+Y22*VLOOKUP(I22,EXTRAS_ARRAY,2,FALSE)</f>
        <v>2</v>
      </c>
      <c r="AB22" s="16" t="s">
        <v>72</v>
      </c>
      <c r="AC22" s="29"/>
      <c r="AD22" s="2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43.5" customHeight="1" outlineLevel="2" x14ac:dyDescent="0.2">
      <c r="A23" s="212" t="s">
        <v>49</v>
      </c>
      <c r="B23" s="14"/>
      <c r="C23" s="62"/>
      <c r="D23" s="62"/>
      <c r="E23" s="62"/>
      <c r="F23" s="63"/>
      <c r="G23" s="15" t="s">
        <v>57</v>
      </c>
      <c r="H23" s="15" t="s">
        <v>57</v>
      </c>
      <c r="I23" s="16" t="s">
        <v>57</v>
      </c>
      <c r="J23" s="15" t="s">
        <v>57</v>
      </c>
      <c r="K23" s="30"/>
      <c r="L23" s="15"/>
      <c r="M23" s="229">
        <f ca="1">IFERROR(OFFSET(M23,-1,,1,1)+0.1,OFFSET(M23,-1,-1,1,1)&amp;".1")</f>
        <v>2.2000000000000002</v>
      </c>
      <c r="N23" s="16" t="s">
        <v>73</v>
      </c>
      <c r="O23" s="16" t="s">
        <v>74</v>
      </c>
      <c r="P23" s="16"/>
      <c r="Q23" s="100">
        <v>25</v>
      </c>
      <c r="R23" s="95"/>
      <c r="S23" s="230">
        <f>CEILING((IF(J23="Yes", 0, IF(H23="-",AA23,AA23+AA23*VLOOKUP(H23,BUFFERS_BY_TYPE,2,FALSE)))) +
   (IF(J23="Yes", 0, IF(H23="-",AA23,AA23+AA23*VLOOKUP(H23,BUFFERS_BY_TYPE,2,FALSE))))*VLOOKUP($S$5, SALES_CALL_SCALE_ARRAY, 2,FALSE),0.25)</f>
        <v>7.5</v>
      </c>
      <c r="T23" s="116"/>
      <c r="U23" s="17">
        <v>0</v>
      </c>
      <c r="V23" s="17">
        <v>1</v>
      </c>
      <c r="W23" s="17">
        <v>0</v>
      </c>
      <c r="X23" s="115">
        <v>0.3</v>
      </c>
      <c r="Y23" s="230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7.5</v>
      </c>
      <c r="Z23" s="18"/>
      <c r="AA23" s="230">
        <f>Y23+Y23*VLOOKUP(I23,EXTRAS_ARRAY,2,FALSE)</f>
        <v>7.5</v>
      </c>
      <c r="AB23" s="16" t="s">
        <v>75</v>
      </c>
      <c r="AC23" s="29"/>
      <c r="AD23" s="2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5" customHeight="1" outlineLevel="2" x14ac:dyDescent="0.2">
      <c r="A24" s="212" t="s">
        <v>49</v>
      </c>
      <c r="B24" s="14"/>
      <c r="C24" s="62"/>
      <c r="D24" s="62"/>
      <c r="E24" s="62"/>
      <c r="F24" s="63"/>
      <c r="G24" s="15" t="s">
        <v>57</v>
      </c>
      <c r="H24" s="15" t="s">
        <v>57</v>
      </c>
      <c r="I24" s="16" t="s">
        <v>57</v>
      </c>
      <c r="J24" s="15" t="s">
        <v>57</v>
      </c>
      <c r="K24" s="30" t="s">
        <v>76</v>
      </c>
      <c r="L24" s="15"/>
      <c r="M24" s="229">
        <f ca="1">IFERROR(OFFSET(M24,-1,,1,1)+0.1,OFFSET(M24,-1,-1,1,1)&amp;".1")</f>
        <v>2.3000000000000003</v>
      </c>
      <c r="N24" s="16" t="s">
        <v>77</v>
      </c>
      <c r="O24" s="16" t="s">
        <v>60</v>
      </c>
      <c r="P24" s="16"/>
      <c r="Q24" s="100">
        <v>2</v>
      </c>
      <c r="R24" s="95"/>
      <c r="S24" s="230">
        <f>CEILING((IF(J24="Yes", 0, IF(H24="-",AA24,AA24+AA24*VLOOKUP(H24,BUFFERS_BY_TYPE,2,FALSE)))) +
   (IF(J24="Yes", 0, IF(H24="-",AA24,AA24+AA24*VLOOKUP(H24,BUFFERS_BY_TYPE,2,FALSE))))*VLOOKUP($S$5, SALES_CALL_SCALE_ARRAY, 2,FALSE),0.25)</f>
        <v>4</v>
      </c>
      <c r="T24" s="116"/>
      <c r="U24" s="17">
        <v>0</v>
      </c>
      <c r="V24" s="17">
        <v>1</v>
      </c>
      <c r="W24" s="17">
        <v>0</v>
      </c>
      <c r="X24" s="115">
        <v>2</v>
      </c>
      <c r="Y24" s="230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4</v>
      </c>
      <c r="Z24" s="18"/>
      <c r="AA24" s="230">
        <f>Y24+Y24*VLOOKUP(I24,EXTRAS_ARRAY,2,FALSE)</f>
        <v>4</v>
      </c>
      <c r="AB24" s="16" t="s">
        <v>78</v>
      </c>
      <c r="AC24" s="29"/>
      <c r="AD24" s="2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6" customFormat="1" ht="7.5" customHeight="1" outlineLevel="2" x14ac:dyDescent="0.2">
      <c r="A25" s="212" t="s">
        <v>68</v>
      </c>
      <c r="B25" s="12"/>
      <c r="C25" s="56"/>
      <c r="D25" s="56"/>
      <c r="E25" s="56"/>
      <c r="F25" s="56"/>
      <c r="M25" s="180"/>
      <c r="T25" s="12"/>
      <c r="X25" s="12"/>
      <c r="AB25" s="7"/>
      <c r="AC25" s="7"/>
      <c r="AD25" s="7"/>
    </row>
    <row r="26" spans="1:30" s="11" customFormat="1" ht="15.5" customHeight="1" outlineLevel="1" x14ac:dyDescent="0.2">
      <c r="A26" s="212" t="s">
        <v>52</v>
      </c>
      <c r="B26" s="14"/>
      <c r="C26" s="61"/>
      <c r="D26" s="61"/>
      <c r="E26" s="61"/>
      <c r="F26" s="60"/>
      <c r="G26" s="24"/>
      <c r="H26" s="24"/>
      <c r="I26" s="24"/>
      <c r="J26" s="24"/>
      <c r="K26" s="24"/>
      <c r="L26" s="223">
        <f ca="1">LOOKUP(1000,INDIRECT("L1:"&amp;CELL("address",INDIRECT("R[-1]C",FALSE))))+1</f>
        <v>3</v>
      </c>
      <c r="M26" s="299" t="s">
        <v>79</v>
      </c>
      <c r="N26" s="294"/>
      <c r="O26" s="4"/>
      <c r="P26" s="25"/>
      <c r="Q26" s="25"/>
      <c r="R26" s="25"/>
      <c r="S26" s="25"/>
      <c r="T26" s="225">
        <f>IF($S$6="Exclude", SUMIFS(S27:S32, J27:J32, "&lt;&gt;Yes", G27:G32, "&lt;&gt;Yes"), SUMIFS(S27:S32, J27:J32, "&lt;&gt;Yes"))</f>
        <v>9.5</v>
      </c>
      <c r="U26" s="25"/>
      <c r="V26" s="25"/>
      <c r="W26" s="25"/>
      <c r="X26" s="26"/>
      <c r="Y26" s="27"/>
      <c r="Z26" s="27"/>
      <c r="AA26" s="27"/>
      <c r="AB26" s="155"/>
      <c r="AC26" s="28"/>
      <c r="AD26" s="226" t="str">
        <f>IF(M26="", "Error: Task name cannot be empty.", "")</f>
        <v/>
      </c>
    </row>
    <row r="27" spans="1:30" s="9" customFormat="1" ht="1.5" customHeight="1" outlineLevel="2" x14ac:dyDescent="0.2">
      <c r="A27" s="212" t="s">
        <v>54</v>
      </c>
      <c r="B27" s="14"/>
      <c r="C27" s="61"/>
      <c r="D27" s="61"/>
      <c r="E27" s="61"/>
      <c r="F27" s="60"/>
      <c r="G27" s="24"/>
      <c r="H27" s="24"/>
      <c r="I27" s="24"/>
      <c r="J27" s="24"/>
      <c r="K27" s="24"/>
      <c r="L27" s="227">
        <f ca="1">L26</f>
        <v>3</v>
      </c>
      <c r="M27" s="228" t="s">
        <v>55</v>
      </c>
      <c r="N27" s="118"/>
      <c r="O27" s="119"/>
      <c r="P27" s="25"/>
      <c r="Q27" s="25"/>
      <c r="R27" s="25"/>
      <c r="S27" s="25"/>
      <c r="T27" s="114"/>
      <c r="U27" s="25"/>
      <c r="V27" s="25"/>
      <c r="W27" s="25"/>
      <c r="X27" s="26"/>
      <c r="Y27" s="27"/>
      <c r="Z27" s="27"/>
      <c r="AA27" s="27"/>
      <c r="AB27" s="28"/>
      <c r="AC27" s="28"/>
      <c r="AD27" s="19"/>
    </row>
    <row r="28" spans="1:30" ht="43.5" customHeight="1" outlineLevel="2" x14ac:dyDescent="0.2">
      <c r="A28" s="212" t="s">
        <v>49</v>
      </c>
      <c r="B28" s="14"/>
      <c r="C28" s="62"/>
      <c r="D28" s="62"/>
      <c r="E28" s="62"/>
      <c r="F28" s="63"/>
      <c r="G28" s="15" t="s">
        <v>57</v>
      </c>
      <c r="H28" s="15" t="s">
        <v>57</v>
      </c>
      <c r="I28" s="16" t="s">
        <v>57</v>
      </c>
      <c r="J28" s="15" t="s">
        <v>57</v>
      </c>
      <c r="K28" s="30"/>
      <c r="L28" s="15"/>
      <c r="M28" s="229" t="str">
        <f ca="1">IFERROR(OFFSET(M28,-1,,1,1)+0.1,OFFSET(M28,-1,-1,1,1)&amp;".1")</f>
        <v>3.1</v>
      </c>
      <c r="N28" s="16" t="s">
        <v>80</v>
      </c>
      <c r="O28" s="16" t="s">
        <v>81</v>
      </c>
      <c r="P28" s="16"/>
      <c r="Q28" s="100">
        <v>12</v>
      </c>
      <c r="R28" s="95"/>
      <c r="S28" s="230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16"/>
      <c r="U28" s="17">
        <v>0</v>
      </c>
      <c r="V28" s="17">
        <v>1</v>
      </c>
      <c r="W28" s="17">
        <v>0</v>
      </c>
      <c r="X28" s="115">
        <v>0.25</v>
      </c>
      <c r="Y28" s="230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18"/>
      <c r="AA28" s="230">
        <f>Y28+Y28*VLOOKUP(I28,EXTRAS_ARRAY,2,FALSE)</f>
        <v>3</v>
      </c>
      <c r="AB28" s="16" t="s">
        <v>82</v>
      </c>
      <c r="AC28" s="29"/>
      <c r="AD28" s="2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customHeight="1" outlineLevel="2" x14ac:dyDescent="0.2">
      <c r="A29" s="212" t="s">
        <v>49</v>
      </c>
      <c r="B29" s="14"/>
      <c r="C29" s="62"/>
      <c r="D29" s="62"/>
      <c r="E29" s="62"/>
      <c r="F29" s="63"/>
      <c r="G29" s="15" t="s">
        <v>57</v>
      </c>
      <c r="H29" s="15" t="s">
        <v>57</v>
      </c>
      <c r="I29" s="16" t="s">
        <v>57</v>
      </c>
      <c r="J29" s="15" t="s">
        <v>57</v>
      </c>
      <c r="K29" s="30"/>
      <c r="L29" s="15"/>
      <c r="M29" s="229">
        <f ca="1">IFERROR(OFFSET(M29,-1,,1,1)+0.1,OFFSET(M29,-1,-1,1,1)&amp;".1")</f>
        <v>3.2</v>
      </c>
      <c r="N29" s="16" t="s">
        <v>83</v>
      </c>
      <c r="O29" s="16" t="s">
        <v>84</v>
      </c>
      <c r="P29" s="16"/>
      <c r="Q29" s="100">
        <v>4</v>
      </c>
      <c r="R29" s="95"/>
      <c r="S29" s="230">
        <f>CEILING((IF(J29="Yes", 0, IF(H29="-",AA29,AA29+AA29*VLOOKUP(H29,BUFFERS_BY_TYPE,2,FALSE)))) +
   (IF(J29="Yes", 0, IF(H29="-",AA29,AA29+AA29*VLOOKUP(H29,BUFFERS_BY_TYPE,2,FALSE))))*VLOOKUP($S$5, SALES_CALL_SCALE_ARRAY, 2,FALSE),0.25)</f>
        <v>2</v>
      </c>
      <c r="T29" s="116"/>
      <c r="U29" s="17">
        <v>0</v>
      </c>
      <c r="V29" s="17">
        <v>1</v>
      </c>
      <c r="W29" s="17">
        <v>0</v>
      </c>
      <c r="X29" s="115">
        <v>0.5</v>
      </c>
      <c r="Y29" s="230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</v>
      </c>
      <c r="Z29" s="18"/>
      <c r="AA29" s="230">
        <f>Y29+Y29*VLOOKUP(I29,EXTRAS_ARRAY,2,FALSE)</f>
        <v>2</v>
      </c>
      <c r="AB29" s="16" t="s">
        <v>85</v>
      </c>
      <c r="AC29" s="29"/>
      <c r="AD29" s="2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43.5" customHeight="1" outlineLevel="2" x14ac:dyDescent="0.2">
      <c r="A30" s="212" t="s">
        <v>49</v>
      </c>
      <c r="B30" s="14"/>
      <c r="C30" s="62"/>
      <c r="D30" s="62"/>
      <c r="E30" s="62"/>
      <c r="F30" s="63"/>
      <c r="G30" s="15" t="s">
        <v>57</v>
      </c>
      <c r="H30" s="15" t="s">
        <v>57</v>
      </c>
      <c r="I30" s="16" t="s">
        <v>57</v>
      </c>
      <c r="J30" s="15" t="s">
        <v>57</v>
      </c>
      <c r="K30" s="30"/>
      <c r="L30" s="15"/>
      <c r="M30" s="229">
        <f ca="1">IFERROR(OFFSET(M30,-1,,1,1)+0.1,OFFSET(M30,-1,-1,1,1)&amp;".1")</f>
        <v>3.3000000000000003</v>
      </c>
      <c r="N30" s="16" t="s">
        <v>86</v>
      </c>
      <c r="O30" s="16" t="s">
        <v>87</v>
      </c>
      <c r="P30" s="16"/>
      <c r="Q30" s="100">
        <v>5</v>
      </c>
      <c r="R30" s="95"/>
      <c r="S30" s="230">
        <f>CEILING((IF(J30="Yes", 0, IF(H30="-",AA30,AA30+AA30*VLOOKUP(H30,BUFFERS_BY_TYPE,2,FALSE)))) +
   (IF(J30="Yes", 0, IF(H30="-",AA30,AA30+AA30*VLOOKUP(H30,BUFFERS_BY_TYPE,2,FALSE))))*VLOOKUP($S$5, SALES_CALL_SCALE_ARRAY, 2,FALSE),0.25)</f>
        <v>2.5</v>
      </c>
      <c r="T30" s="116"/>
      <c r="U30" s="17">
        <v>0</v>
      </c>
      <c r="V30" s="17">
        <v>1</v>
      </c>
      <c r="W30" s="17">
        <v>0</v>
      </c>
      <c r="X30" s="115">
        <v>0.5</v>
      </c>
      <c r="Y30" s="230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2.5</v>
      </c>
      <c r="Z30" s="18"/>
      <c r="AA30" s="230">
        <f>Y30+Y30*VLOOKUP(I30,EXTRAS_ARRAY,2,FALSE)</f>
        <v>2.5</v>
      </c>
      <c r="AB30" s="16" t="s">
        <v>88</v>
      </c>
      <c r="AC30" s="29"/>
      <c r="AD30" s="2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5" customHeight="1" outlineLevel="2" x14ac:dyDescent="0.2">
      <c r="A31" s="212" t="s">
        <v>49</v>
      </c>
      <c r="B31" s="14"/>
      <c r="C31" s="62"/>
      <c r="D31" s="62"/>
      <c r="E31" s="62"/>
      <c r="F31" s="63"/>
      <c r="G31" s="15" t="s">
        <v>57</v>
      </c>
      <c r="H31" s="15" t="s">
        <v>57</v>
      </c>
      <c r="I31" s="16" t="s">
        <v>57</v>
      </c>
      <c r="J31" s="15" t="s">
        <v>57</v>
      </c>
      <c r="K31" s="30"/>
      <c r="L31" s="15"/>
      <c r="M31" s="229">
        <f ca="1">IFERROR(OFFSET(M31,-1,,1,1)+0.1,OFFSET(M31,-1,-1,1,1)&amp;".1")</f>
        <v>3.4000000000000004</v>
      </c>
      <c r="N31" s="16" t="s">
        <v>89</v>
      </c>
      <c r="O31" s="16" t="s">
        <v>60</v>
      </c>
      <c r="P31" s="16"/>
      <c r="Q31" s="100">
        <v>2</v>
      </c>
      <c r="R31" s="95"/>
      <c r="S31" s="230">
        <f>CEILING((IF(J31="Yes", 0, IF(H31="-",AA31,AA31+AA31*VLOOKUP(H31,BUFFERS_BY_TYPE,2,FALSE)))) +
   (IF(J31="Yes", 0, IF(H31="-",AA31,AA31+AA31*VLOOKUP(H31,BUFFERS_BY_TYPE,2,FALSE))))*VLOOKUP($S$5, SALES_CALL_SCALE_ARRAY, 2,FALSE),0.25)</f>
        <v>2</v>
      </c>
      <c r="T31" s="116"/>
      <c r="U31" s="17">
        <v>0</v>
      </c>
      <c r="V31" s="17">
        <v>1</v>
      </c>
      <c r="W31" s="17">
        <v>0</v>
      </c>
      <c r="X31" s="115">
        <v>1</v>
      </c>
      <c r="Y31" s="230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2</v>
      </c>
      <c r="Z31" s="18"/>
      <c r="AA31" s="230">
        <f>Y31+Y31*VLOOKUP(I31,EXTRAS_ARRAY,2,FALSE)</f>
        <v>2</v>
      </c>
      <c r="AB31" s="16" t="s">
        <v>90</v>
      </c>
      <c r="AC31" s="29"/>
      <c r="AD31" s="2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6" customFormat="1" ht="7.5" customHeight="1" outlineLevel="2" x14ac:dyDescent="0.2">
      <c r="A32" s="212" t="s">
        <v>68</v>
      </c>
      <c r="B32" s="12"/>
      <c r="C32" s="56"/>
      <c r="D32" s="56"/>
      <c r="E32" s="56"/>
      <c r="F32" s="56"/>
      <c r="M32" s="180"/>
      <c r="T32" s="12"/>
      <c r="X32" s="12"/>
      <c r="AB32" s="7"/>
      <c r="AC32" s="7"/>
      <c r="AD32" s="7"/>
    </row>
    <row r="33" spans="1:30" s="11" customFormat="1" ht="15.5" customHeight="1" outlineLevel="1" x14ac:dyDescent="0.2">
      <c r="A33" s="212" t="s">
        <v>52</v>
      </c>
      <c r="B33" s="14"/>
      <c r="C33" s="61"/>
      <c r="D33" s="61"/>
      <c r="E33" s="61"/>
      <c r="F33" s="60"/>
      <c r="G33" s="24"/>
      <c r="H33" s="24"/>
      <c r="I33" s="24"/>
      <c r="J33" s="24"/>
      <c r="K33" s="24"/>
      <c r="L33" s="223">
        <f ca="1">LOOKUP(1000,INDIRECT("L1:"&amp;CELL("address",INDIRECT("R[-1]C",FALSE))))+1</f>
        <v>4</v>
      </c>
      <c r="M33" s="299" t="s">
        <v>91</v>
      </c>
      <c r="N33" s="294"/>
      <c r="O33" s="4"/>
      <c r="P33" s="25"/>
      <c r="Q33" s="25"/>
      <c r="R33" s="25"/>
      <c r="S33" s="25"/>
      <c r="T33" s="225">
        <f>IF($S$6="Exclude", SUMIFS(S34:S40, J34:J40, "&lt;&gt;Yes", G34:G40, "&lt;&gt;Yes"), SUMIFS(S34:S40, J34:J40, "&lt;&gt;Yes"))</f>
        <v>5.5</v>
      </c>
      <c r="U33" s="25"/>
      <c r="V33" s="25"/>
      <c r="W33" s="25"/>
      <c r="X33" s="26"/>
      <c r="Y33" s="27"/>
      <c r="Z33" s="27"/>
      <c r="AA33" s="27"/>
      <c r="AB33" s="155"/>
      <c r="AC33" s="28"/>
      <c r="AD33" s="226" t="str">
        <f>IF(M33="", "Error: Task name cannot be empty.", "")</f>
        <v/>
      </c>
    </row>
    <row r="34" spans="1:30" s="9" customFormat="1" ht="1.5" customHeight="1" outlineLevel="2" x14ac:dyDescent="0.2">
      <c r="A34" s="212" t="s">
        <v>54</v>
      </c>
      <c r="B34" s="14"/>
      <c r="C34" s="61"/>
      <c r="D34" s="61"/>
      <c r="E34" s="61"/>
      <c r="F34" s="60"/>
      <c r="G34" s="24"/>
      <c r="H34" s="24"/>
      <c r="I34" s="24"/>
      <c r="J34" s="24"/>
      <c r="K34" s="24"/>
      <c r="L34" s="227">
        <f ca="1">L33</f>
        <v>4</v>
      </c>
      <c r="M34" s="228" t="s">
        <v>55</v>
      </c>
      <c r="N34" s="118"/>
      <c r="O34" s="119"/>
      <c r="P34" s="25"/>
      <c r="Q34" s="25"/>
      <c r="R34" s="25"/>
      <c r="S34" s="25"/>
      <c r="T34" s="114"/>
      <c r="U34" s="25"/>
      <c r="V34" s="25"/>
      <c r="W34" s="25"/>
      <c r="X34" s="26"/>
      <c r="Y34" s="27"/>
      <c r="Z34" s="27"/>
      <c r="AA34" s="27"/>
      <c r="AB34" s="28"/>
      <c r="AC34" s="28"/>
      <c r="AD34" s="19"/>
    </row>
    <row r="35" spans="1:30" ht="43.5" customHeight="1" outlineLevel="2" x14ac:dyDescent="0.2">
      <c r="A35" s="212" t="s">
        <v>49</v>
      </c>
      <c r="B35" s="14"/>
      <c r="C35" s="62"/>
      <c r="D35" s="62"/>
      <c r="E35" s="62"/>
      <c r="F35" s="63"/>
      <c r="G35" s="15" t="s">
        <v>57</v>
      </c>
      <c r="H35" s="15" t="s">
        <v>57</v>
      </c>
      <c r="I35" s="16" t="s">
        <v>57</v>
      </c>
      <c r="J35" s="15" t="s">
        <v>57</v>
      </c>
      <c r="K35" s="30"/>
      <c r="L35" s="15"/>
      <c r="M35" s="229" t="str">
        <f ca="1">IFERROR(OFFSET(M35,-1,,1,1)+0.1,OFFSET(M35,-1,-1,1,1)&amp;".1")</f>
        <v>4.1</v>
      </c>
      <c r="N35" s="16" t="s">
        <v>92</v>
      </c>
      <c r="O35" s="16" t="s">
        <v>93</v>
      </c>
      <c r="P35" s="16"/>
      <c r="Q35" s="100">
        <v>2</v>
      </c>
      <c r="R35" s="95"/>
      <c r="S35" s="230">
        <f>CEILING((IF(J35="Yes", 0, IF(H35="-",AA35,AA35+AA35*VLOOKUP(H35,BUFFERS_BY_TYPE,2,FALSE)))) +
   (IF(J35="Yes", 0, IF(H35="-",AA35,AA35+AA35*VLOOKUP(H35,BUFFERS_BY_TYPE,2,FALSE))))*VLOOKUP($S$5, SALES_CALL_SCALE_ARRAY, 2,FALSE),0.25)</f>
        <v>1</v>
      </c>
      <c r="T35" s="116"/>
      <c r="U35" s="17">
        <v>0</v>
      </c>
      <c r="V35" s="17">
        <v>1</v>
      </c>
      <c r="W35" s="17">
        <v>0</v>
      </c>
      <c r="X35" s="115">
        <v>0.5</v>
      </c>
      <c r="Y35" s="230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</v>
      </c>
      <c r="Z35" s="18"/>
      <c r="AA35" s="230">
        <f>Y35+Y35*VLOOKUP(I35,EXTRAS_ARRAY,2,FALSE)</f>
        <v>1</v>
      </c>
      <c r="AB35" s="16" t="s">
        <v>94</v>
      </c>
      <c r="AC35" s="29"/>
      <c r="AD35" s="2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43.5" customHeight="1" outlineLevel="2" x14ac:dyDescent="0.2">
      <c r="A36" s="212" t="s">
        <v>49</v>
      </c>
      <c r="B36" s="14"/>
      <c r="C36" s="62"/>
      <c r="D36" s="62"/>
      <c r="E36" s="62"/>
      <c r="F36" s="63"/>
      <c r="G36" s="15" t="s">
        <v>57</v>
      </c>
      <c r="H36" s="15" t="s">
        <v>57</v>
      </c>
      <c r="I36" s="16" t="s">
        <v>57</v>
      </c>
      <c r="J36" s="15" t="s">
        <v>57</v>
      </c>
      <c r="K36" s="30"/>
      <c r="L36" s="15"/>
      <c r="M36" s="229">
        <f ca="1">IFERROR(OFFSET(M36,-1,,1,1)+0.1,OFFSET(M36,-1,-1,1,1)&amp;".1")</f>
        <v>4.1999999999999993</v>
      </c>
      <c r="N36" s="16" t="s">
        <v>95</v>
      </c>
      <c r="O36" s="16" t="s">
        <v>63</v>
      </c>
      <c r="P36" s="16"/>
      <c r="Q36" s="100">
        <v>6</v>
      </c>
      <c r="R36" s="95"/>
      <c r="S36" s="230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16"/>
      <c r="U36" s="17">
        <v>0</v>
      </c>
      <c r="V36" s="17">
        <v>1</v>
      </c>
      <c r="W36" s="17">
        <v>0</v>
      </c>
      <c r="X36" s="115">
        <v>0.25</v>
      </c>
      <c r="Y36" s="230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18"/>
      <c r="AA36" s="230">
        <f>Y36+Y36*VLOOKUP(I36,EXTRAS_ARRAY,2,FALSE)</f>
        <v>1.5</v>
      </c>
      <c r="AB36" s="16" t="s">
        <v>96</v>
      </c>
      <c r="AC36" s="29"/>
      <c r="AD36" s="2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43.5" customHeight="1" outlineLevel="2" x14ac:dyDescent="0.2">
      <c r="A37" s="212" t="s">
        <v>49</v>
      </c>
      <c r="B37" s="14"/>
      <c r="C37" s="62"/>
      <c r="D37" s="62"/>
      <c r="E37" s="62"/>
      <c r="F37" s="63"/>
      <c r="G37" s="15" t="s">
        <v>57</v>
      </c>
      <c r="H37" s="15" t="s">
        <v>57</v>
      </c>
      <c r="I37" s="16" t="s">
        <v>57</v>
      </c>
      <c r="J37" s="15" t="s">
        <v>57</v>
      </c>
      <c r="K37" s="30"/>
      <c r="L37" s="15"/>
      <c r="M37" s="229">
        <f ca="1">IFERROR(OFFSET(M37,-1,,1,1)+0.1,OFFSET(M37,-1,-1,1,1)&amp;".1")</f>
        <v>4.2999999999999989</v>
      </c>
      <c r="N37" s="16" t="s">
        <v>97</v>
      </c>
      <c r="O37" s="16" t="s">
        <v>60</v>
      </c>
      <c r="P37" s="16"/>
      <c r="Q37" s="100">
        <v>1</v>
      </c>
      <c r="R37" s="95"/>
      <c r="S37" s="230">
        <f>CEILING((IF(J37="Yes", 0, IF(H37="-",AA37,AA37+AA37*VLOOKUP(H37,BUFFERS_BY_TYPE,2,FALSE)))) +
   (IF(J37="Yes", 0, IF(H37="-",AA37,AA37+AA37*VLOOKUP(H37,BUFFERS_BY_TYPE,2,FALSE))))*VLOOKUP($S$5, SALES_CALL_SCALE_ARRAY, 2,FALSE),0.25)</f>
        <v>1</v>
      </c>
      <c r="T37" s="116"/>
      <c r="U37" s="17">
        <v>0</v>
      </c>
      <c r="V37" s="17">
        <v>1</v>
      </c>
      <c r="W37" s="17">
        <v>0</v>
      </c>
      <c r="X37" s="115">
        <v>1</v>
      </c>
      <c r="Y37" s="230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</v>
      </c>
      <c r="Z37" s="18"/>
      <c r="AA37" s="230">
        <f>Y37+Y37*VLOOKUP(I37,EXTRAS_ARRAY,2,FALSE)</f>
        <v>1</v>
      </c>
      <c r="AB37" s="16" t="s">
        <v>98</v>
      </c>
      <c r="AC37" s="29"/>
      <c r="AD37" s="2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43.5" customHeight="1" outlineLevel="2" x14ac:dyDescent="0.2">
      <c r="A38" s="212" t="s">
        <v>49</v>
      </c>
      <c r="B38" s="14"/>
      <c r="C38" s="62"/>
      <c r="D38" s="62"/>
      <c r="E38" s="62"/>
      <c r="F38" s="63"/>
      <c r="G38" s="15" t="s">
        <v>57</v>
      </c>
      <c r="H38" s="15" t="s">
        <v>57</v>
      </c>
      <c r="I38" s="16" t="s">
        <v>57</v>
      </c>
      <c r="J38" s="15" t="s">
        <v>57</v>
      </c>
      <c r="K38" s="30"/>
      <c r="L38" s="15"/>
      <c r="M38" s="229">
        <f ca="1">IFERROR(OFFSET(M38,-1,,1,1)+0.1,OFFSET(M38,-1,-1,1,1)&amp;".1")</f>
        <v>4.3999999999999986</v>
      </c>
      <c r="N38" s="16" t="s">
        <v>99</v>
      </c>
      <c r="O38" s="16" t="s">
        <v>60</v>
      </c>
      <c r="P38" s="16"/>
      <c r="Q38" s="100">
        <v>1</v>
      </c>
      <c r="R38" s="95"/>
      <c r="S38" s="230">
        <f>CEILING((IF(J38="Yes", 0, IF(H38="-",AA38,AA38+AA38*VLOOKUP(H38,BUFFERS_BY_TYPE,2,FALSE)))) +
   (IF(J38="Yes", 0, IF(H38="-",AA38,AA38+AA38*VLOOKUP(H38,BUFFERS_BY_TYPE,2,FALSE))))*VLOOKUP($S$5, SALES_CALL_SCALE_ARRAY, 2,FALSE),0.25)</f>
        <v>1</v>
      </c>
      <c r="T38" s="116"/>
      <c r="U38" s="17">
        <v>0</v>
      </c>
      <c r="V38" s="17">
        <v>1</v>
      </c>
      <c r="W38" s="17">
        <v>0</v>
      </c>
      <c r="X38" s="115">
        <v>1</v>
      </c>
      <c r="Y38" s="230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1</v>
      </c>
      <c r="Z38" s="18"/>
      <c r="AA38" s="230">
        <f>Y38+Y38*VLOOKUP(I38,EXTRAS_ARRAY,2,FALSE)</f>
        <v>1</v>
      </c>
      <c r="AB38" s="16" t="s">
        <v>100</v>
      </c>
      <c r="AC38" s="29"/>
      <c r="AD38" s="226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43.5" customHeight="1" outlineLevel="2" x14ac:dyDescent="0.2">
      <c r="A39" s="212" t="s">
        <v>49</v>
      </c>
      <c r="B39" s="14"/>
      <c r="C39" s="62"/>
      <c r="D39" s="62"/>
      <c r="E39" s="62"/>
      <c r="F39" s="63"/>
      <c r="G39" s="15" t="s">
        <v>57</v>
      </c>
      <c r="H39" s="15" t="s">
        <v>57</v>
      </c>
      <c r="I39" s="16" t="s">
        <v>57</v>
      </c>
      <c r="J39" s="15" t="s">
        <v>57</v>
      </c>
      <c r="K39" s="30"/>
      <c r="L39" s="15"/>
      <c r="M39" s="229">
        <f ca="1">IFERROR(OFFSET(M39,-1,,1,1)+0.1,OFFSET(M39,-1,-1,1,1)&amp;".1")</f>
        <v>4.4999999999999982</v>
      </c>
      <c r="N39" s="16" t="s">
        <v>101</v>
      </c>
      <c r="O39" s="16" t="s">
        <v>60</v>
      </c>
      <c r="P39" s="16"/>
      <c r="Q39" s="100">
        <v>1</v>
      </c>
      <c r="R39" s="95"/>
      <c r="S39" s="230">
        <f>CEILING((IF(J39="Yes", 0, IF(H39="-",AA39,AA39+AA39*VLOOKUP(H39,BUFFERS_BY_TYPE,2,FALSE)))) +
   (IF(J39="Yes", 0, IF(H39="-",AA39,AA39+AA39*VLOOKUP(H39,BUFFERS_BY_TYPE,2,FALSE))))*VLOOKUP($S$5, SALES_CALL_SCALE_ARRAY, 2,FALSE),0.25)</f>
        <v>1</v>
      </c>
      <c r="T39" s="116"/>
      <c r="U39" s="17">
        <v>0</v>
      </c>
      <c r="V39" s="17">
        <v>1</v>
      </c>
      <c r="W39" s="17">
        <v>0</v>
      </c>
      <c r="X39" s="115">
        <v>1</v>
      </c>
      <c r="Y39" s="230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</v>
      </c>
      <c r="Z39" s="18"/>
      <c r="AA39" s="230">
        <f>Y39+Y39*VLOOKUP(I39,EXTRAS_ARRAY,2,FALSE)</f>
        <v>1</v>
      </c>
      <c r="AB39" s="16" t="s">
        <v>102</v>
      </c>
      <c r="AC39" s="29"/>
      <c r="AD39" s="226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6" customFormat="1" ht="7.5" customHeight="1" outlineLevel="2" x14ac:dyDescent="0.2">
      <c r="A40" s="212" t="s">
        <v>68</v>
      </c>
      <c r="B40" s="12"/>
      <c r="C40" s="56"/>
      <c r="D40" s="56"/>
      <c r="E40" s="56"/>
      <c r="F40" s="56"/>
      <c r="M40" s="180"/>
      <c r="T40" s="12"/>
      <c r="X40" s="12"/>
      <c r="AB40" s="7"/>
      <c r="AC40" s="7"/>
      <c r="AD40" s="7"/>
    </row>
    <row r="41" spans="1:30" s="11" customFormat="1" ht="15.5" customHeight="1" outlineLevel="1" x14ac:dyDescent="0.2">
      <c r="A41" s="212" t="s">
        <v>52</v>
      </c>
      <c r="B41" s="14"/>
      <c r="C41" s="61"/>
      <c r="D41" s="61"/>
      <c r="E41" s="61"/>
      <c r="F41" s="60"/>
      <c r="G41" s="24"/>
      <c r="H41" s="24"/>
      <c r="I41" s="24"/>
      <c r="J41" s="24"/>
      <c r="K41" s="24"/>
      <c r="L41" s="223">
        <f ca="1">LOOKUP(1000,INDIRECT("L1:"&amp;CELL("address",INDIRECT("R[-1]C",FALSE))))+1</f>
        <v>5</v>
      </c>
      <c r="M41" s="299" t="s">
        <v>103</v>
      </c>
      <c r="N41" s="294"/>
      <c r="O41" s="4"/>
      <c r="P41" s="25"/>
      <c r="Q41" s="25"/>
      <c r="R41" s="25"/>
      <c r="S41" s="25"/>
      <c r="T41" s="225">
        <f>IF($S$6="Exclude", SUMIFS(S42:S46, J42:J46, "&lt;&gt;Yes", G42:G46, "&lt;&gt;Yes"), SUMIFS(S42:S46, J42:J46, "&lt;&gt;Yes"))</f>
        <v>19</v>
      </c>
      <c r="U41" s="25"/>
      <c r="V41" s="25"/>
      <c r="W41" s="25"/>
      <c r="X41" s="26"/>
      <c r="Y41" s="27"/>
      <c r="Z41" s="27"/>
      <c r="AA41" s="27"/>
      <c r="AB41" s="155"/>
      <c r="AC41" s="28"/>
      <c r="AD41" s="226" t="str">
        <f>IF(M41="", "Error: Task name cannot be empty.", "")</f>
        <v/>
      </c>
    </row>
    <row r="42" spans="1:30" s="9" customFormat="1" ht="1.5" customHeight="1" outlineLevel="2" x14ac:dyDescent="0.2">
      <c r="A42" s="212" t="s">
        <v>54</v>
      </c>
      <c r="B42" s="14"/>
      <c r="C42" s="61"/>
      <c r="D42" s="61"/>
      <c r="E42" s="61"/>
      <c r="F42" s="60"/>
      <c r="G42" s="24"/>
      <c r="H42" s="24"/>
      <c r="I42" s="24"/>
      <c r="J42" s="24"/>
      <c r="K42" s="24"/>
      <c r="L42" s="227">
        <f ca="1">L41</f>
        <v>5</v>
      </c>
      <c r="M42" s="228" t="s">
        <v>55</v>
      </c>
      <c r="N42" s="118"/>
      <c r="O42" s="119"/>
      <c r="P42" s="25"/>
      <c r="Q42" s="25"/>
      <c r="R42" s="25"/>
      <c r="S42" s="25"/>
      <c r="T42" s="114"/>
      <c r="U42" s="25"/>
      <c r="V42" s="25"/>
      <c r="W42" s="25"/>
      <c r="X42" s="26"/>
      <c r="Y42" s="27"/>
      <c r="Z42" s="27"/>
      <c r="AA42" s="27"/>
      <c r="AB42" s="28"/>
      <c r="AC42" s="28"/>
      <c r="AD42" s="19"/>
    </row>
    <row r="43" spans="1:30" ht="116" customHeight="1" outlineLevel="2" x14ac:dyDescent="0.2">
      <c r="A43" s="212" t="s">
        <v>49</v>
      </c>
      <c r="B43" s="14"/>
      <c r="C43" s="62"/>
      <c r="D43" s="62"/>
      <c r="E43" s="62"/>
      <c r="F43" s="63"/>
      <c r="G43" s="15" t="s">
        <v>57</v>
      </c>
      <c r="H43" s="15" t="s">
        <v>57</v>
      </c>
      <c r="I43" s="16" t="s">
        <v>57</v>
      </c>
      <c r="J43" s="15" t="s">
        <v>57</v>
      </c>
      <c r="K43" s="30"/>
      <c r="L43" s="15"/>
      <c r="M43" s="229" t="str">
        <f ca="1">IFERROR(OFFSET(M43,-1,,1,1)+0.1,OFFSET(M43,-1,-1,1,1)&amp;".1")</f>
        <v>5.1</v>
      </c>
      <c r="N43" s="16" t="s">
        <v>104</v>
      </c>
      <c r="O43" s="16" t="s">
        <v>105</v>
      </c>
      <c r="P43" s="16">
        <f>Total_FRs * R43</f>
        <v>75</v>
      </c>
      <c r="Q43" s="100">
        <f>Total_FRs</f>
        <v>25</v>
      </c>
      <c r="R43" s="95">
        <v>3</v>
      </c>
      <c r="S43" s="230">
        <f>CEILING((IF(J43="Yes", 0, IF(H43="-",AA43,AA43+AA43*VLOOKUP(H43,BUFFERS_BY_TYPE,2,FALSE)))) +
   (IF(J43="Yes", 0, IF(H43="-",AA43,AA43+AA43*VLOOKUP(H43,BUFFERS_BY_TYPE,2,FALSE))))*VLOOKUP($S$5, SALES_CALL_SCALE_ARRAY, 2,FALSE),0.25)</f>
        <v>15</v>
      </c>
      <c r="T43" s="116"/>
      <c r="U43" s="17">
        <v>0</v>
      </c>
      <c r="V43" s="17">
        <v>1</v>
      </c>
      <c r="W43" s="17">
        <v>0</v>
      </c>
      <c r="X43" s="115">
        <v>0.2</v>
      </c>
      <c r="Y43" s="230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15</v>
      </c>
      <c r="Z43" s="18"/>
      <c r="AA43" s="230">
        <f>Y43+Y43*VLOOKUP(I43,EXTRAS_ARRAY,2,FALSE)</f>
        <v>15</v>
      </c>
      <c r="AB43" s="16" t="s">
        <v>106</v>
      </c>
      <c r="AC43" s="29"/>
      <c r="AD43" s="2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customHeight="1" outlineLevel="2" x14ac:dyDescent="0.2">
      <c r="A44" s="212" t="s">
        <v>49</v>
      </c>
      <c r="B44" s="14"/>
      <c r="C44" s="62"/>
      <c r="D44" s="62"/>
      <c r="E44" s="62"/>
      <c r="F44" s="63"/>
      <c r="G44" s="15" t="s">
        <v>57</v>
      </c>
      <c r="H44" s="15" t="s">
        <v>57</v>
      </c>
      <c r="I44" s="16" t="s">
        <v>57</v>
      </c>
      <c r="J44" s="15" t="s">
        <v>57</v>
      </c>
      <c r="K44" s="30"/>
      <c r="L44" s="15"/>
      <c r="M44" s="229">
        <f ca="1">IFERROR(OFFSET(M44,-1,,1,1)+0.1,OFFSET(M44,-1,-1,1,1)&amp;".1")</f>
        <v>5.1999999999999993</v>
      </c>
      <c r="N44" s="16" t="s">
        <v>107</v>
      </c>
      <c r="O44" s="16" t="s">
        <v>60</v>
      </c>
      <c r="P44" s="16"/>
      <c r="Q44" s="100">
        <v>1</v>
      </c>
      <c r="R44" s="95"/>
      <c r="S44" s="230">
        <f>CEILING((IF(J44="Yes", 0, IF(H44="-",AA44,AA44+AA44*VLOOKUP(H44,BUFFERS_BY_TYPE,2,FALSE)))) +
   (IF(J44="Yes", 0, IF(H44="-",AA44,AA44+AA44*VLOOKUP(H44,BUFFERS_BY_TYPE,2,FALSE))))*VLOOKUP($S$5, SALES_CALL_SCALE_ARRAY, 2,FALSE),0.25)</f>
        <v>2</v>
      </c>
      <c r="T44" s="116"/>
      <c r="U44" s="17">
        <v>0</v>
      </c>
      <c r="V44" s="17">
        <v>1</v>
      </c>
      <c r="W44" s="17">
        <v>0</v>
      </c>
      <c r="X44" s="115">
        <v>2</v>
      </c>
      <c r="Y44" s="230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2</v>
      </c>
      <c r="Z44" s="18"/>
      <c r="AA44" s="230">
        <f>Y44+Y44*VLOOKUP(I44,EXTRAS_ARRAY,2,FALSE)</f>
        <v>2</v>
      </c>
      <c r="AB44" s="16" t="s">
        <v>108</v>
      </c>
      <c r="AC44" s="29"/>
      <c r="AD44" s="226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43.5" customHeight="1" outlineLevel="2" x14ac:dyDescent="0.2">
      <c r="A45" s="212" t="s">
        <v>49</v>
      </c>
      <c r="B45" s="14"/>
      <c r="C45" s="62"/>
      <c r="D45" s="62"/>
      <c r="E45" s="62"/>
      <c r="F45" s="63"/>
      <c r="G45" s="15" t="s">
        <v>57</v>
      </c>
      <c r="H45" s="15" t="s">
        <v>57</v>
      </c>
      <c r="I45" s="16" t="s">
        <v>57</v>
      </c>
      <c r="J45" s="15" t="s">
        <v>57</v>
      </c>
      <c r="K45" s="30"/>
      <c r="L45" s="15"/>
      <c r="M45" s="229">
        <f ca="1">IFERROR(OFFSET(M45,-1,,1,1)+0.1,OFFSET(M45,-1,-1,1,1)&amp;".1")</f>
        <v>5.2999999999999989</v>
      </c>
      <c r="N45" s="16" t="s">
        <v>109</v>
      </c>
      <c r="O45" s="16" t="s">
        <v>60</v>
      </c>
      <c r="P45" s="16"/>
      <c r="Q45" s="100">
        <v>2</v>
      </c>
      <c r="R45" s="95"/>
      <c r="S45" s="230">
        <f>CEILING((IF(J45="Yes", 0, IF(H45="-",AA45,AA45+AA45*VLOOKUP(H45,BUFFERS_BY_TYPE,2,FALSE)))) +
   (IF(J45="Yes", 0, IF(H45="-",AA45,AA45+AA45*VLOOKUP(H45,BUFFERS_BY_TYPE,2,FALSE))))*VLOOKUP($S$5, SALES_CALL_SCALE_ARRAY, 2,FALSE),0.25)</f>
        <v>2</v>
      </c>
      <c r="T45" s="116"/>
      <c r="U45" s="17">
        <v>0</v>
      </c>
      <c r="V45" s="17">
        <v>1</v>
      </c>
      <c r="W45" s="17">
        <v>0</v>
      </c>
      <c r="X45" s="115">
        <v>1</v>
      </c>
      <c r="Y45" s="230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2</v>
      </c>
      <c r="Z45" s="18"/>
      <c r="AA45" s="230">
        <f>Y45+Y45*VLOOKUP(I45,EXTRAS_ARRAY,2,FALSE)</f>
        <v>2</v>
      </c>
      <c r="AB45" s="16" t="s">
        <v>110</v>
      </c>
      <c r="AC45" s="29"/>
      <c r="AD45" s="226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6" customFormat="1" ht="7.5" customHeight="1" outlineLevel="2" x14ac:dyDescent="0.2">
      <c r="A46" s="212" t="s">
        <v>68</v>
      </c>
      <c r="B46" s="12"/>
      <c r="C46" s="56"/>
      <c r="D46" s="56"/>
      <c r="E46" s="56"/>
      <c r="F46" s="56"/>
      <c r="M46" s="180"/>
      <c r="T46" s="12"/>
      <c r="X46" s="12"/>
      <c r="AB46" s="7"/>
      <c r="AC46" s="7"/>
      <c r="AD46" s="7"/>
    </row>
    <row r="47" spans="1:30" s="11" customFormat="1" ht="15.5" customHeight="1" outlineLevel="1" x14ac:dyDescent="0.2">
      <c r="A47" s="212" t="s">
        <v>52</v>
      </c>
      <c r="B47" s="14"/>
      <c r="C47" s="61"/>
      <c r="D47" s="61"/>
      <c r="E47" s="61"/>
      <c r="F47" s="60"/>
      <c r="G47" s="24"/>
      <c r="H47" s="24"/>
      <c r="I47" s="24"/>
      <c r="J47" s="24"/>
      <c r="K47" s="24"/>
      <c r="L47" s="223">
        <f ca="1">LOOKUP(1000,INDIRECT("L1:"&amp;CELL("address",INDIRECT("R[-1]C",FALSE))))+1</f>
        <v>6</v>
      </c>
      <c r="M47" s="299" t="s">
        <v>111</v>
      </c>
      <c r="N47" s="294"/>
      <c r="O47" s="4"/>
      <c r="P47" s="25"/>
      <c r="Q47" s="25"/>
      <c r="R47" s="25"/>
      <c r="S47" s="25"/>
      <c r="T47" s="225">
        <f>IF($S$6="Exclude", SUMIFS(S48:S55, J48:J55, "&lt;&gt;Yes", G48:G55, "&lt;&gt;Yes"), SUMIFS(S48:S55, J48:J55, "&lt;&gt;Yes"))</f>
        <v>23.75</v>
      </c>
      <c r="U47" s="25"/>
      <c r="V47" s="25"/>
      <c r="W47" s="25"/>
      <c r="X47" s="26"/>
      <c r="Y47" s="27"/>
      <c r="Z47" s="27"/>
      <c r="AA47" s="27"/>
      <c r="AB47" s="155"/>
      <c r="AC47" s="28"/>
      <c r="AD47" s="226" t="str">
        <f>IF(M47="", "Error: Task name cannot be empty.", "")</f>
        <v/>
      </c>
    </row>
    <row r="48" spans="1:30" s="9" customFormat="1" ht="1.5" customHeight="1" outlineLevel="2" x14ac:dyDescent="0.2">
      <c r="A48" s="212" t="s">
        <v>54</v>
      </c>
      <c r="B48" s="14"/>
      <c r="C48" s="61"/>
      <c r="D48" s="61"/>
      <c r="E48" s="61"/>
      <c r="F48" s="60"/>
      <c r="G48" s="24"/>
      <c r="H48" s="24"/>
      <c r="I48" s="24"/>
      <c r="J48" s="24"/>
      <c r="K48" s="24"/>
      <c r="L48" s="227">
        <f ca="1">L47</f>
        <v>6</v>
      </c>
      <c r="M48" s="228" t="s">
        <v>55</v>
      </c>
      <c r="N48" s="118"/>
      <c r="O48" s="119"/>
      <c r="P48" s="25"/>
      <c r="Q48" s="25"/>
      <c r="R48" s="25"/>
      <c r="S48" s="25"/>
      <c r="T48" s="114"/>
      <c r="U48" s="25"/>
      <c r="V48" s="25"/>
      <c r="W48" s="25"/>
      <c r="X48" s="26"/>
      <c r="Y48" s="27"/>
      <c r="Z48" s="27"/>
      <c r="AA48" s="27"/>
      <c r="AB48" s="28"/>
      <c r="AC48" s="28"/>
      <c r="AD48" s="19"/>
    </row>
    <row r="49" spans="1:30" ht="43.5" customHeight="1" outlineLevel="2" x14ac:dyDescent="0.2">
      <c r="A49" s="212" t="s">
        <v>49</v>
      </c>
      <c r="B49" s="14"/>
      <c r="C49" s="62"/>
      <c r="D49" s="62"/>
      <c r="E49" s="62"/>
      <c r="F49" s="63"/>
      <c r="G49" s="15" t="s">
        <v>56</v>
      </c>
      <c r="H49" s="15" t="s">
        <v>57</v>
      </c>
      <c r="I49" s="16" t="s">
        <v>57</v>
      </c>
      <c r="J49" s="15" t="s">
        <v>57</v>
      </c>
      <c r="K49" s="30"/>
      <c r="L49" s="15"/>
      <c r="M49" s="229" t="str">
        <f t="shared" ref="M49:M54" ca="1" si="0">IFERROR(OFFSET(M49,-1,,1,1)+0.1,OFFSET(M49,-1,-1,1,1)&amp;".1")</f>
        <v>6.1</v>
      </c>
      <c r="N49" s="16" t="s">
        <v>112</v>
      </c>
      <c r="O49" s="16" t="s">
        <v>113</v>
      </c>
      <c r="P49" s="16"/>
      <c r="Q49" s="100">
        <v>12</v>
      </c>
      <c r="R49" s="95"/>
      <c r="S49" s="230">
        <f>CEILING((IF(J49="Yes", 0, IF(H49="-",AA49,AA49+AA49*VLOOKUP(H49,BUFFERS_BY_TYPE,2,FALSE)))) +
   (IF(J49="Yes", 0, IF(H49="-",AA49,AA49+AA49*VLOOKUP(H49,BUFFERS_BY_TYPE,2,FALSE))))*VLOOKUP($S$5, SALES_CALL_SCALE_ARRAY, 2,FALSE),0.25)</f>
        <v>1.25</v>
      </c>
      <c r="T49" s="116"/>
      <c r="U49" s="17">
        <v>0</v>
      </c>
      <c r="V49" s="17">
        <v>1</v>
      </c>
      <c r="W49" s="17">
        <v>0</v>
      </c>
      <c r="X49" s="115">
        <v>0.1</v>
      </c>
      <c r="Y49" s="230">
        <f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1.25</v>
      </c>
      <c r="Z49" s="18"/>
      <c r="AA49" s="230">
        <f t="shared" ref="AA49:AA54" si="1">Y49+Y49*VLOOKUP(I49,EXTRAS_ARRAY,2,FALSE)</f>
        <v>1.25</v>
      </c>
      <c r="AB49" s="16" t="s">
        <v>114</v>
      </c>
      <c r="AC49" s="29"/>
      <c r="AD49" s="226" t="str">
        <f t="shared" ref="AD49:AD54" si="2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43.5" customHeight="1" outlineLevel="2" x14ac:dyDescent="0.2">
      <c r="A50" s="212" t="s">
        <v>49</v>
      </c>
      <c r="B50" s="14"/>
      <c r="C50" s="62"/>
      <c r="D50" s="62"/>
      <c r="E50" s="62"/>
      <c r="F50" s="63"/>
      <c r="G50" s="15" t="s">
        <v>56</v>
      </c>
      <c r="H50" s="15" t="s">
        <v>57</v>
      </c>
      <c r="I50" s="16" t="s">
        <v>57</v>
      </c>
      <c r="J50" s="15" t="s">
        <v>57</v>
      </c>
      <c r="K50" s="30"/>
      <c r="L50" s="15"/>
      <c r="M50" s="229">
        <f t="shared" ca="1" si="0"/>
        <v>6.1999999999999993</v>
      </c>
      <c r="N50" s="16" t="s">
        <v>115</v>
      </c>
      <c r="O50" s="16" t="s">
        <v>60</v>
      </c>
      <c r="P50" s="16"/>
      <c r="Q50" s="100">
        <v>1</v>
      </c>
      <c r="R50" s="95"/>
      <c r="S50" s="230">
        <f>CEILING((IF(J50="Yes", 0, IF(H50="-",AA50,AA50+AA50*VLOOKUP(H50,BUFFERS_BY_TYPE,2,FALSE)))) +
(IF(J50="Yes", 0, IF(H50="-",AA50,AA50+AA50*VLOOKUP(H50,BUFFERS_BY_TYPE,2,FALSE))))*VLOOKUP($S$5, SALES_CALL_SCALE_ARRAY, 2,FALSE),0.25)</f>
        <v>2</v>
      </c>
      <c r="T50" s="116"/>
      <c r="U50" s="17">
        <v>0</v>
      </c>
      <c r="V50" s="17">
        <v>1</v>
      </c>
      <c r="W50" s="17">
        <v>0</v>
      </c>
      <c r="X50" s="115">
        <v>2</v>
      </c>
      <c r="Y50" s="230">
        <f>CEILING((IF(P50=AS_DEV_EFFORT, DEV_EFFORT*Q50%,
IF(P50=AS_DURATION_EFFORT, (MANUAL_DURATION*5)*Q50%,
(IF(Q50&lt;=1,X50,
IF(SUM(U50:W50)=0,(Q50*X50),
(((Q50*U50)*(X50+(X50*EXTRA_FOR_H)))+
((Q50*V50)*X50)+
((Q50*W50)*(X50-(X50*LESS_FOR_L)))
)*IF(R50=0,1,R50))))))+Z50), 0.25)</f>
        <v>2</v>
      </c>
      <c r="Z50" s="18"/>
      <c r="AA50" s="230">
        <f t="shared" si="1"/>
        <v>2</v>
      </c>
      <c r="AB50" s="16" t="s">
        <v>116</v>
      </c>
      <c r="AC50" s="29"/>
      <c r="AD50" s="226" t="str">
        <f t="shared" si="2"/>
        <v/>
      </c>
    </row>
    <row r="51" spans="1:30" ht="43.5" customHeight="1" outlineLevel="2" x14ac:dyDescent="0.2">
      <c r="A51" s="212" t="s">
        <v>49</v>
      </c>
      <c r="B51" s="14"/>
      <c r="C51" s="62"/>
      <c r="D51" s="62"/>
      <c r="E51" s="62"/>
      <c r="F51" s="63"/>
      <c r="G51" s="15" t="s">
        <v>56</v>
      </c>
      <c r="H51" s="15" t="s">
        <v>57</v>
      </c>
      <c r="I51" s="16" t="s">
        <v>57</v>
      </c>
      <c r="J51" s="15" t="s">
        <v>57</v>
      </c>
      <c r="K51" s="30"/>
      <c r="L51" s="15"/>
      <c r="M51" s="229">
        <f t="shared" ca="1" si="0"/>
        <v>6.2999999999999989</v>
      </c>
      <c r="N51" s="16" t="s">
        <v>117</v>
      </c>
      <c r="O51" s="16" t="s">
        <v>118</v>
      </c>
      <c r="P51" s="16"/>
      <c r="Q51" s="100">
        <v>14</v>
      </c>
      <c r="R51" s="95"/>
      <c r="S51" s="230">
        <f>CEILING((IF(J51="Yes", 0, IF(H51="-",AA51,AA51+AA51*VLOOKUP(H51,BUFFERS_BY_TYPE,2,FALSE)))) +
(IF(J51="Yes", 0, IF(H51="-",AA51,AA51+AA51*VLOOKUP(H51,BUFFERS_BY_TYPE,2,FALSE))))*VLOOKUP($S$5, SALES_CALL_SCALE_ARRAY, 2,FALSE),0.25)</f>
        <v>7</v>
      </c>
      <c r="T51" s="116"/>
      <c r="U51" s="17">
        <v>0</v>
      </c>
      <c r="V51" s="17">
        <v>1</v>
      </c>
      <c r="W51" s="17">
        <v>0</v>
      </c>
      <c r="X51" s="115">
        <v>0.5</v>
      </c>
      <c r="Y51" s="230">
        <f>CEILING((IF(P51=AS_DEV_EFFORT, DEV_EFFORT*Q51%,
IF(P51=AS_DURATION_EFFORT, (MANUAL_DURATION*5)*Q51%,
(IF(Q51&lt;=1,X51,
IF(SUM(U51:W51)=0,(Q51*X51),
(((Q51*U51)*(X51+(X51*EXTRA_FOR_H)))+
((Q51*V51)*X51)+
((Q51*W51)*(X51-(X51*LESS_FOR_L)))
)*IF(R51=0,1,R51))))))+Z51), 0.25)</f>
        <v>7</v>
      </c>
      <c r="Z51" s="18"/>
      <c r="AA51" s="230">
        <f t="shared" si="1"/>
        <v>7</v>
      </c>
      <c r="AB51" s="16" t="s">
        <v>119</v>
      </c>
      <c r="AC51" s="29"/>
      <c r="AD51" s="226" t="str">
        <f t="shared" si="2"/>
        <v/>
      </c>
    </row>
    <row r="52" spans="1:30" ht="43.5" customHeight="1" outlineLevel="2" x14ac:dyDescent="0.2">
      <c r="A52" s="212" t="s">
        <v>49</v>
      </c>
      <c r="B52" s="14"/>
      <c r="C52" s="62"/>
      <c r="D52" s="62"/>
      <c r="E52" s="62"/>
      <c r="F52" s="63"/>
      <c r="G52" s="15" t="s">
        <v>56</v>
      </c>
      <c r="H52" s="15" t="s">
        <v>57</v>
      </c>
      <c r="I52" s="16" t="s">
        <v>57</v>
      </c>
      <c r="J52" s="15" t="s">
        <v>57</v>
      </c>
      <c r="K52" s="30"/>
      <c r="L52" s="15"/>
      <c r="M52" s="229">
        <f t="shared" ca="1" si="0"/>
        <v>6.3999999999999986</v>
      </c>
      <c r="N52" s="16" t="s">
        <v>120</v>
      </c>
      <c r="O52" s="16" t="s">
        <v>113</v>
      </c>
      <c r="P52" s="16"/>
      <c r="Q52" s="100">
        <v>10</v>
      </c>
      <c r="R52" s="95"/>
      <c r="S52" s="230">
        <f>CEILING((IF(J52="Yes", 0, IF(H52="-",AA52,AA52+AA52*VLOOKUP(H52,BUFFERS_BY_TYPE,2,FALSE)))) +
(IF(J52="Yes", 0, IF(H52="-",AA52,AA52+AA52*VLOOKUP(H52,BUFFERS_BY_TYPE,2,FALSE))))*VLOOKUP($S$5, SALES_CALL_SCALE_ARRAY, 2,FALSE),0.25)</f>
        <v>1</v>
      </c>
      <c r="T52" s="116"/>
      <c r="U52" s="17">
        <v>0</v>
      </c>
      <c r="V52" s="17">
        <v>1</v>
      </c>
      <c r="W52" s="17">
        <v>0</v>
      </c>
      <c r="X52" s="115">
        <v>0.1</v>
      </c>
      <c r="Y52" s="230">
        <f>CEILING((IF(P52=AS_DEV_EFFORT, DEV_EFFORT*Q52%,
IF(P52=AS_DURATION_EFFORT, (MANUAL_DURATION*5)*Q52%,
(IF(Q52&lt;=1,X52,
IF(SUM(U52:W52)=0,(Q52*X52),
(((Q52*U52)*(X52+(X52*EXTRA_FOR_H)))+
((Q52*V52)*X52)+
((Q52*W52)*(X52-(X52*LESS_FOR_L)))
)*IF(R52=0,1,R52))))))+Z52), 0.25)</f>
        <v>1</v>
      </c>
      <c r="Z52" s="18"/>
      <c r="AA52" s="230">
        <f t="shared" si="1"/>
        <v>1</v>
      </c>
      <c r="AB52" s="16" t="s">
        <v>121</v>
      </c>
      <c r="AC52" s="29"/>
      <c r="AD52" s="226" t="str">
        <f t="shared" si="2"/>
        <v/>
      </c>
    </row>
    <row r="53" spans="1:30" ht="43.5" customHeight="1" outlineLevel="2" x14ac:dyDescent="0.2">
      <c r="A53" s="212" t="s">
        <v>49</v>
      </c>
      <c r="B53" s="14"/>
      <c r="C53" s="62"/>
      <c r="D53" s="62"/>
      <c r="E53" s="62"/>
      <c r="F53" s="63"/>
      <c r="G53" s="15" t="s">
        <v>56</v>
      </c>
      <c r="H53" s="15" t="s">
        <v>57</v>
      </c>
      <c r="I53" s="16" t="s">
        <v>57</v>
      </c>
      <c r="J53" s="15" t="s">
        <v>57</v>
      </c>
      <c r="K53" s="30"/>
      <c r="L53" s="15"/>
      <c r="M53" s="229">
        <f t="shared" ca="1" si="0"/>
        <v>6.4999999999999982</v>
      </c>
      <c r="N53" s="16" t="s">
        <v>122</v>
      </c>
      <c r="O53" s="16" t="s">
        <v>118</v>
      </c>
      <c r="P53" s="16"/>
      <c r="Q53" s="100">
        <v>14</v>
      </c>
      <c r="R53" s="95"/>
      <c r="S53" s="230">
        <f>CEILING((IF(J53="Yes", 0, IF(H53="-",AA53,AA53+AA53*VLOOKUP(H53,BUFFERS_BY_TYPE,2,FALSE)))) +
(IF(J53="Yes", 0, IF(H53="-",AA53,AA53+AA53*VLOOKUP(H53,BUFFERS_BY_TYPE,2,FALSE))))*VLOOKUP($S$5, SALES_CALL_SCALE_ARRAY, 2,FALSE),0.25)</f>
        <v>10.5</v>
      </c>
      <c r="T53" s="116"/>
      <c r="U53" s="17">
        <v>0</v>
      </c>
      <c r="V53" s="17">
        <v>1</v>
      </c>
      <c r="W53" s="17">
        <v>0</v>
      </c>
      <c r="X53" s="115">
        <v>0.75</v>
      </c>
      <c r="Y53" s="230">
        <f>CEILING((IF(P53=AS_DEV_EFFORT, DEV_EFFORT*Q53%,
IF(P53=AS_DURATION_EFFORT, (MANUAL_DURATION*5)*Q53%,
(IF(Q53&lt;=1,X53,
IF(SUM(U53:W53)=0,(Q53*X53),
(((Q53*U53)*(X53+(X53*EXTRA_FOR_H)))+
((Q53*V53)*X53)+
((Q53*W53)*(X53-(X53*LESS_FOR_L)))
)*IF(R53=0,1,R53))))))+Z53), 0.25)</f>
        <v>10.5</v>
      </c>
      <c r="Z53" s="18"/>
      <c r="AA53" s="230">
        <f t="shared" si="1"/>
        <v>10.5</v>
      </c>
      <c r="AB53" s="16" t="s">
        <v>123</v>
      </c>
      <c r="AC53" s="29"/>
      <c r="AD53" s="226" t="str">
        <f t="shared" si="2"/>
        <v/>
      </c>
    </row>
    <row r="54" spans="1:30" ht="43.5" customHeight="1" outlineLevel="2" x14ac:dyDescent="0.2">
      <c r="A54" s="212" t="s">
        <v>49</v>
      </c>
      <c r="B54" s="14"/>
      <c r="C54" s="62"/>
      <c r="D54" s="62"/>
      <c r="E54" s="62"/>
      <c r="F54" s="63"/>
      <c r="G54" s="15" t="s">
        <v>56</v>
      </c>
      <c r="H54" s="15" t="s">
        <v>57</v>
      </c>
      <c r="I54" s="16" t="s">
        <v>57</v>
      </c>
      <c r="J54" s="15" t="s">
        <v>57</v>
      </c>
      <c r="K54" s="30"/>
      <c r="L54" s="15"/>
      <c r="M54" s="229">
        <f t="shared" ca="1" si="0"/>
        <v>6.5999999999999979</v>
      </c>
      <c r="N54" s="16" t="s">
        <v>124</v>
      </c>
      <c r="O54" s="16" t="s">
        <v>60</v>
      </c>
      <c r="P54" s="16"/>
      <c r="Q54" s="100">
        <v>2</v>
      </c>
      <c r="R54" s="95"/>
      <c r="S54" s="230">
        <f>CEILING((IF(J54="Yes", 0, IF(H54="-",AA54,AA54+AA54*VLOOKUP(H54,BUFFERS_BY_TYPE,2,FALSE)))) +
(IF(J54="Yes", 0, IF(H54="-",AA54,AA54+AA54*VLOOKUP(H54,BUFFERS_BY_TYPE,2,FALSE))))*VLOOKUP($S$5, SALES_CALL_SCALE_ARRAY, 2,FALSE),0.25)</f>
        <v>2</v>
      </c>
      <c r="T54" s="116"/>
      <c r="U54" s="17">
        <v>0</v>
      </c>
      <c r="V54" s="17">
        <v>1</v>
      </c>
      <c r="W54" s="17">
        <v>0</v>
      </c>
      <c r="X54" s="115">
        <v>1</v>
      </c>
      <c r="Y54" s="230">
        <f>CEILING((IF(P54=AS_DEV_EFFORT, DEV_EFFORT*Q54%,
IF(P54=AS_DURATION_EFFORT, (MANUAL_DURATION*5)*Q54%,
(IF(Q54&lt;=1,X54,
IF(SUM(U54:W54)=0,(Q54*X54),
(((Q54*U54)*(X54+(X54*EXTRA_FOR_H)))+
((Q54*V54)*X54)+
((Q54*W54)*(X54-(X54*LESS_FOR_L)))
)*IF(R54=0,1,R54))))))+Z54), 0.25)</f>
        <v>2</v>
      </c>
      <c r="Z54" s="18"/>
      <c r="AA54" s="230">
        <f t="shared" si="1"/>
        <v>2</v>
      </c>
      <c r="AB54" s="16" t="s">
        <v>125</v>
      </c>
      <c r="AC54" s="29"/>
      <c r="AD54" s="226" t="str">
        <f t="shared" si="2"/>
        <v/>
      </c>
    </row>
    <row r="55" spans="1:30" s="6" customFormat="1" ht="7.5" customHeight="1" outlineLevel="2" x14ac:dyDescent="0.2">
      <c r="A55" s="212" t="s">
        <v>68</v>
      </c>
      <c r="B55" s="12"/>
      <c r="C55" s="56"/>
      <c r="D55" s="56"/>
      <c r="E55" s="56"/>
      <c r="F55" s="56"/>
      <c r="M55" s="180"/>
      <c r="T55" s="12"/>
      <c r="X55" s="12"/>
      <c r="AB55" s="7"/>
      <c r="AC55" s="7"/>
      <c r="AD55" s="7"/>
    </row>
    <row r="56" spans="1:30" s="11" customFormat="1" ht="15.5" customHeight="1" outlineLevel="1" x14ac:dyDescent="0.2">
      <c r="A56" s="212" t="s">
        <v>52</v>
      </c>
      <c r="B56" s="14"/>
      <c r="C56" s="61"/>
      <c r="D56" s="61"/>
      <c r="E56" s="61"/>
      <c r="F56" s="60"/>
      <c r="G56" s="24"/>
      <c r="H56" s="24"/>
      <c r="I56" s="24"/>
      <c r="J56" s="24"/>
      <c r="K56" s="24"/>
      <c r="L56" s="223">
        <f ca="1">LOOKUP(1000,INDIRECT("L1:"&amp;CELL("address",INDIRECT("R[-1]C",FALSE))))+1</f>
        <v>7</v>
      </c>
      <c r="M56" s="299" t="s">
        <v>126</v>
      </c>
      <c r="N56" s="294"/>
      <c r="O56" s="4"/>
      <c r="P56" s="25"/>
      <c r="Q56" s="25"/>
      <c r="R56" s="25"/>
      <c r="S56" s="25"/>
      <c r="T56" s="225">
        <f>IF($S$6="Exclude", SUMIFS(S57:S63, J57:J63, "&lt;&gt;Yes", G57:G63, "&lt;&gt;Yes"), SUMIFS(S57:S63, J57:J63, "&lt;&gt;Yes"))</f>
        <v>13</v>
      </c>
      <c r="U56" s="25"/>
      <c r="V56" s="25"/>
      <c r="W56" s="25"/>
      <c r="X56" s="26"/>
      <c r="Y56" s="27"/>
      <c r="Z56" s="27"/>
      <c r="AA56" s="27"/>
      <c r="AB56" s="155"/>
      <c r="AC56" s="28"/>
      <c r="AD56" s="226" t="str">
        <f>IF(M56="", "Error: Task name cannot be empty.", "")</f>
        <v/>
      </c>
    </row>
    <row r="57" spans="1:30" s="9" customFormat="1" ht="1.5" customHeight="1" outlineLevel="2" x14ac:dyDescent="0.2">
      <c r="A57" s="212" t="s">
        <v>54</v>
      </c>
      <c r="B57" s="14"/>
      <c r="C57" s="61"/>
      <c r="D57" s="61"/>
      <c r="E57" s="61"/>
      <c r="F57" s="60"/>
      <c r="G57" s="24"/>
      <c r="H57" s="24"/>
      <c r="I57" s="24"/>
      <c r="J57" s="24"/>
      <c r="K57" s="24"/>
      <c r="L57" s="227">
        <f ca="1">L56</f>
        <v>7</v>
      </c>
      <c r="M57" s="228" t="s">
        <v>55</v>
      </c>
      <c r="N57" s="118"/>
      <c r="O57" s="119"/>
      <c r="P57" s="25"/>
      <c r="Q57" s="25"/>
      <c r="R57" s="25"/>
      <c r="S57" s="25"/>
      <c r="T57" s="114"/>
      <c r="U57" s="25"/>
      <c r="V57" s="25"/>
      <c r="W57" s="25"/>
      <c r="X57" s="26"/>
      <c r="Y57" s="27"/>
      <c r="Z57" s="27"/>
      <c r="AA57" s="27"/>
      <c r="AB57" s="28"/>
      <c r="AC57" s="28"/>
      <c r="AD57" s="19"/>
    </row>
    <row r="58" spans="1:30" ht="43.5" customHeight="1" outlineLevel="2" x14ac:dyDescent="0.2">
      <c r="A58" s="212" t="s">
        <v>49</v>
      </c>
      <c r="B58" s="14"/>
      <c r="C58" s="62"/>
      <c r="D58" s="62"/>
      <c r="E58" s="62"/>
      <c r="F58" s="63"/>
      <c r="G58" s="15" t="s">
        <v>57</v>
      </c>
      <c r="H58" s="15" t="s">
        <v>57</v>
      </c>
      <c r="I58" s="16" t="s">
        <v>57</v>
      </c>
      <c r="J58" s="15" t="s">
        <v>57</v>
      </c>
      <c r="K58" s="30"/>
      <c r="L58" s="15"/>
      <c r="M58" s="229" t="str">
        <f ca="1">IFERROR(OFFSET(M58,-1,,1,1)+0.1,OFFSET(M58,-1,-1,1,1)&amp;".1")</f>
        <v>7.1</v>
      </c>
      <c r="N58" s="16" t="s">
        <v>127</v>
      </c>
      <c r="O58" s="16" t="s">
        <v>128</v>
      </c>
      <c r="P58" s="16"/>
      <c r="Q58" s="100">
        <v>4</v>
      </c>
      <c r="R58" s="95"/>
      <c r="S58" s="230">
        <f>CEILING((IF(J58="Yes", 0, IF(H58="-",AA58,AA58+AA58*VLOOKUP(H58,BUFFERS_BY_TYPE,2,FALSE)))) +
   (IF(J58="Yes", 0, IF(H58="-",AA58,AA58+AA58*VLOOKUP(H58,BUFFERS_BY_TYPE,2,FALSE))))*VLOOKUP($S$5, SALES_CALL_SCALE_ARRAY, 2,FALSE),0.25)</f>
        <v>6</v>
      </c>
      <c r="T58" s="116"/>
      <c r="U58" s="17">
        <v>0</v>
      </c>
      <c r="V58" s="17">
        <v>1</v>
      </c>
      <c r="W58" s="17">
        <v>0</v>
      </c>
      <c r="X58" s="115">
        <v>1.5</v>
      </c>
      <c r="Y58" s="230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6</v>
      </c>
      <c r="Z58" s="18"/>
      <c r="AA58" s="230">
        <f>Y58+Y58*VLOOKUP(I58,EXTRAS_ARRAY,2,FALSE)</f>
        <v>6</v>
      </c>
      <c r="AB58" s="16" t="s">
        <v>129</v>
      </c>
      <c r="AC58" s="29"/>
      <c r="AD58" s="226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43.5" customHeight="1" outlineLevel="2" x14ac:dyDescent="0.2">
      <c r="A59" s="212" t="s">
        <v>49</v>
      </c>
      <c r="B59" s="14"/>
      <c r="C59" s="62"/>
      <c r="D59" s="62"/>
      <c r="E59" s="62"/>
      <c r="F59" s="63"/>
      <c r="G59" s="15" t="s">
        <v>57</v>
      </c>
      <c r="H59" s="15" t="s">
        <v>57</v>
      </c>
      <c r="I59" s="16" t="s">
        <v>57</v>
      </c>
      <c r="J59" s="15" t="s">
        <v>57</v>
      </c>
      <c r="K59" s="30"/>
      <c r="L59" s="15"/>
      <c r="M59" s="229">
        <f ca="1">IFERROR(OFFSET(M59,-1,,1,1)+0.1,OFFSET(M59,-1,-1,1,1)&amp;".1")</f>
        <v>7.1999999999999993</v>
      </c>
      <c r="N59" s="16" t="s">
        <v>130</v>
      </c>
      <c r="O59" s="16" t="s">
        <v>128</v>
      </c>
      <c r="P59" s="16"/>
      <c r="Q59" s="100">
        <v>4</v>
      </c>
      <c r="R59" s="95"/>
      <c r="S59" s="230">
        <f>CEILING((IF(J59="Yes", 0, IF(H59="-",AA59,AA59+AA59*VLOOKUP(H59,BUFFERS_BY_TYPE,2,FALSE)))) +
   (IF(J59="Yes", 0, IF(H59="-",AA59,AA59+AA59*VLOOKUP(H59,BUFFERS_BY_TYPE,2,FALSE))))*VLOOKUP($S$5, SALES_CALL_SCALE_ARRAY, 2,FALSE),0.25)</f>
        <v>3</v>
      </c>
      <c r="T59" s="116"/>
      <c r="U59" s="17">
        <v>0</v>
      </c>
      <c r="V59" s="17">
        <v>1</v>
      </c>
      <c r="W59" s="17">
        <v>0</v>
      </c>
      <c r="X59" s="115">
        <v>0.75</v>
      </c>
      <c r="Y59" s="230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3</v>
      </c>
      <c r="Z59" s="18"/>
      <c r="AA59" s="230">
        <f>Y59+Y59*VLOOKUP(I59,EXTRAS_ARRAY,2,FALSE)</f>
        <v>3</v>
      </c>
      <c r="AB59" s="16" t="s">
        <v>131</v>
      </c>
      <c r="AC59" s="29"/>
      <c r="AD59" s="226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43.5" customHeight="1" outlineLevel="2" x14ac:dyDescent="0.2">
      <c r="A60" s="212" t="s">
        <v>49</v>
      </c>
      <c r="B60" s="14"/>
      <c r="C60" s="62"/>
      <c r="D60" s="62"/>
      <c r="E60" s="62"/>
      <c r="F60" s="63"/>
      <c r="G60" s="15" t="s">
        <v>57</v>
      </c>
      <c r="H60" s="15" t="s">
        <v>57</v>
      </c>
      <c r="I60" s="16" t="s">
        <v>57</v>
      </c>
      <c r="J60" s="15" t="s">
        <v>57</v>
      </c>
      <c r="K60" s="30"/>
      <c r="L60" s="15"/>
      <c r="M60" s="229">
        <f ca="1">IFERROR(OFFSET(M60,-1,,1,1)+0.1,OFFSET(M60,-1,-1,1,1)&amp;".1")</f>
        <v>7.2999999999999989</v>
      </c>
      <c r="N60" s="16" t="s">
        <v>132</v>
      </c>
      <c r="O60" s="16" t="s">
        <v>133</v>
      </c>
      <c r="P60" s="16"/>
      <c r="Q60" s="100">
        <v>4</v>
      </c>
      <c r="R60" s="95"/>
      <c r="S60" s="230">
        <f>CEILING((IF(J60="Yes", 0, IF(H60="-",AA60,AA60+AA60*VLOOKUP(H60,BUFFERS_BY_TYPE,2,FALSE)))) +
   (IF(J60="Yes", 0, IF(H60="-",AA60,AA60+AA60*VLOOKUP(H60,BUFFERS_BY_TYPE,2,FALSE))))*VLOOKUP($S$5, SALES_CALL_SCALE_ARRAY, 2,FALSE),0.25)</f>
        <v>2</v>
      </c>
      <c r="T60" s="116"/>
      <c r="U60" s="17">
        <v>0</v>
      </c>
      <c r="V60" s="17">
        <v>1</v>
      </c>
      <c r="W60" s="17">
        <v>0</v>
      </c>
      <c r="X60" s="115">
        <v>0.5</v>
      </c>
      <c r="Y60" s="230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2</v>
      </c>
      <c r="Z60" s="18"/>
      <c r="AA60" s="230">
        <f>Y60+Y60*VLOOKUP(I60,EXTRAS_ARRAY,2,FALSE)</f>
        <v>2</v>
      </c>
      <c r="AB60" s="16" t="s">
        <v>134</v>
      </c>
      <c r="AC60" s="29"/>
      <c r="AD60" s="226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customHeight="1" outlineLevel="2" x14ac:dyDescent="0.2">
      <c r="A61" s="212" t="s">
        <v>49</v>
      </c>
      <c r="B61" s="14"/>
      <c r="C61" s="62"/>
      <c r="D61" s="62"/>
      <c r="E61" s="62"/>
      <c r="F61" s="63"/>
      <c r="G61" s="15" t="s">
        <v>56</v>
      </c>
      <c r="H61" s="15" t="s">
        <v>57</v>
      </c>
      <c r="I61" s="16" t="s">
        <v>57</v>
      </c>
      <c r="J61" s="15" t="s">
        <v>57</v>
      </c>
      <c r="K61" s="30"/>
      <c r="L61" s="15"/>
      <c r="M61" s="229">
        <f ca="1">IFERROR(OFFSET(M61,-1,,1,1)+0.1,OFFSET(M61,-1,-1,1,1)&amp;".1")</f>
        <v>7.3999999999999986</v>
      </c>
      <c r="N61" s="16" t="s">
        <v>135</v>
      </c>
      <c r="O61" s="16" t="s">
        <v>136</v>
      </c>
      <c r="P61" s="179">
        <v>0.02</v>
      </c>
      <c r="Q61" s="100">
        <f>Total_Use_Cases * P61</f>
        <v>1.5</v>
      </c>
      <c r="R61" s="95"/>
      <c r="S61" s="230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16"/>
      <c r="U61" s="17">
        <v>0</v>
      </c>
      <c r="V61" s="17">
        <v>1</v>
      </c>
      <c r="W61" s="17">
        <v>0</v>
      </c>
      <c r="X61" s="115">
        <v>1</v>
      </c>
      <c r="Y61" s="230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18"/>
      <c r="AA61" s="230">
        <f>Y61+Y61*VLOOKUP(I61,EXTRAS_ARRAY,2,FALSE)</f>
        <v>1.5</v>
      </c>
      <c r="AB61" s="16" t="s">
        <v>137</v>
      </c>
      <c r="AC61" s="29"/>
      <c r="AD61" s="226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ht="43.5" customHeight="1" outlineLevel="2" x14ac:dyDescent="0.2">
      <c r="A62" s="212" t="s">
        <v>49</v>
      </c>
      <c r="B62" s="14"/>
      <c r="C62" s="62"/>
      <c r="D62" s="62"/>
      <c r="E62" s="62"/>
      <c r="F62" s="63"/>
      <c r="G62" s="15" t="s">
        <v>57</v>
      </c>
      <c r="H62" s="15" t="s">
        <v>57</v>
      </c>
      <c r="I62" s="16" t="s">
        <v>57</v>
      </c>
      <c r="J62" s="15" t="s">
        <v>57</v>
      </c>
      <c r="K62" s="30"/>
      <c r="L62" s="15"/>
      <c r="M62" s="229">
        <f ca="1">IFERROR(OFFSET(M62,-1,,1,1)+0.1,OFFSET(M62,-1,-1,1,1)&amp;".1")</f>
        <v>7.4999999999999982</v>
      </c>
      <c r="N62" s="16" t="s">
        <v>138</v>
      </c>
      <c r="O62" s="16" t="s">
        <v>139</v>
      </c>
      <c r="P62" s="16">
        <v>14</v>
      </c>
      <c r="Q62" s="100"/>
      <c r="R62" s="95"/>
      <c r="S62" s="230">
        <f>CEILING((IF(J62="Yes", 0, IF(H62="-",AA62,AA62+AA62*VLOOKUP(H62,BUFFERS_BY_TYPE,2,FALSE)))) +
   (IF(J62="Yes", 0, IF(H62="-",AA62,AA62+AA62*VLOOKUP(H62,BUFFERS_BY_TYPE,2,FALSE))))*VLOOKUP($S$5, SALES_CALL_SCALE_ARRAY, 2,FALSE),0.25)</f>
        <v>0.5</v>
      </c>
      <c r="T62" s="116"/>
      <c r="U62" s="17">
        <v>0</v>
      </c>
      <c r="V62" s="17">
        <v>1</v>
      </c>
      <c r="W62" s="17">
        <v>0</v>
      </c>
      <c r="X62" s="115">
        <v>0.5</v>
      </c>
      <c r="Y62" s="230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>0.5</v>
      </c>
      <c r="Z62" s="18"/>
      <c r="AA62" s="230">
        <f>Y62+Y62*VLOOKUP(I62,EXTRAS_ARRAY,2,FALSE)</f>
        <v>0.5</v>
      </c>
      <c r="AB62" s="16" t="s">
        <v>140</v>
      </c>
      <c r="AC62" s="29"/>
      <c r="AD62" s="226" t="str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/>
      </c>
    </row>
    <row r="63" spans="1:30" s="6" customFormat="1" ht="7.5" customHeight="1" outlineLevel="2" x14ac:dyDescent="0.2">
      <c r="A63" s="212" t="s">
        <v>68</v>
      </c>
      <c r="B63" s="12"/>
      <c r="C63" s="56"/>
      <c r="D63" s="56"/>
      <c r="E63" s="56"/>
      <c r="F63" s="56"/>
      <c r="M63" s="180"/>
      <c r="T63" s="12"/>
      <c r="X63" s="12"/>
      <c r="AB63" s="7"/>
      <c r="AC63" s="7"/>
      <c r="AD63" s="7"/>
    </row>
    <row r="64" spans="1:30" s="6" customFormat="1" ht="3" customHeight="1" outlineLevel="1" x14ac:dyDescent="0.2">
      <c r="A64" s="212" t="s">
        <v>141</v>
      </c>
      <c r="C64" s="56"/>
      <c r="D64" s="56"/>
      <c r="E64" s="56"/>
      <c r="F64" s="56"/>
      <c r="G64" s="21"/>
      <c r="H64" s="21"/>
      <c r="I64" s="21"/>
      <c r="J64" s="21"/>
      <c r="K64" s="21"/>
      <c r="L64" s="48"/>
      <c r="M64" s="189"/>
      <c r="N64" s="49"/>
      <c r="O64" s="49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9"/>
      <c r="AC64" s="49"/>
      <c r="AD64" s="7"/>
    </row>
    <row r="65" spans="1:30" s="11" customFormat="1" ht="18.5" customHeight="1" x14ac:dyDescent="0.2">
      <c r="A65" s="212" t="s">
        <v>46</v>
      </c>
      <c r="B65" s="9"/>
      <c r="C65" s="57"/>
      <c r="D65" s="57"/>
      <c r="E65" s="57"/>
      <c r="F65" s="56"/>
      <c r="G65" s="44"/>
      <c r="H65" s="44"/>
      <c r="I65" s="44"/>
      <c r="J65" s="44"/>
      <c r="K65" s="44"/>
      <c r="L65" s="44" t="s">
        <v>142</v>
      </c>
      <c r="M65" s="187" t="s">
        <v>143</v>
      </c>
      <c r="N65" s="45"/>
      <c r="O65" s="46"/>
      <c r="P65" s="47"/>
      <c r="Q65" s="47"/>
      <c r="R65" s="47"/>
      <c r="S65" s="296">
        <f>CEILING(SUMIF(J66:J94, "&lt;&gt;Yes", T66:T94),1)</f>
        <v>53</v>
      </c>
      <c r="T65" s="294"/>
      <c r="U65" s="47"/>
      <c r="V65" s="47"/>
      <c r="W65" s="47"/>
      <c r="X65" s="47"/>
      <c r="Y65" s="47"/>
      <c r="Z65" s="47"/>
      <c r="AA65" s="47"/>
      <c r="AB65" s="47"/>
      <c r="AC65" s="47"/>
      <c r="AD65" s="10"/>
    </row>
    <row r="66" spans="1:30" s="6" customFormat="1" ht="3" customHeight="1" outlineLevel="1" x14ac:dyDescent="0.2">
      <c r="A66" s="212" t="s">
        <v>51</v>
      </c>
      <c r="B66" s="12"/>
      <c r="C66" s="56"/>
      <c r="D66" s="56"/>
      <c r="E66" s="56"/>
      <c r="F66" s="56"/>
      <c r="G66" s="21"/>
      <c r="H66" s="21"/>
      <c r="I66" s="21"/>
      <c r="J66" s="21"/>
      <c r="K66" s="21"/>
      <c r="L66" s="53">
        <v>0</v>
      </c>
      <c r="M66" s="188"/>
      <c r="N66" s="21"/>
      <c r="O66" s="21"/>
      <c r="P66" s="21"/>
      <c r="Q66" s="21"/>
      <c r="R66" s="21"/>
      <c r="S66" s="21"/>
      <c r="T66" s="22"/>
      <c r="U66" s="21"/>
      <c r="V66" s="21"/>
      <c r="W66" s="21"/>
      <c r="X66" s="22"/>
      <c r="Y66" s="21"/>
      <c r="Z66" s="21"/>
      <c r="AA66" s="21"/>
      <c r="AB66" s="23"/>
      <c r="AC66" s="23"/>
      <c r="AD66" s="7"/>
    </row>
    <row r="67" spans="1:30" s="11" customFormat="1" ht="15.5" customHeight="1" outlineLevel="1" x14ac:dyDescent="0.2">
      <c r="A67" s="212" t="s">
        <v>52</v>
      </c>
      <c r="B67" s="14"/>
      <c r="C67" s="61"/>
      <c r="D67" s="61"/>
      <c r="E67" s="61"/>
      <c r="F67" s="60"/>
      <c r="G67" s="24"/>
      <c r="H67" s="24"/>
      <c r="I67" s="24"/>
      <c r="J67" s="24"/>
      <c r="K67" s="24"/>
      <c r="L67" s="223">
        <f ca="1">LOOKUP(1000,INDIRECT("L1:"&amp;CELL("address",INDIRECT("R[-1]C",FALSE))))+1</f>
        <v>1</v>
      </c>
      <c r="M67" s="299" t="s">
        <v>53</v>
      </c>
      <c r="N67" s="294"/>
      <c r="O67" s="4"/>
      <c r="P67" s="25"/>
      <c r="Q67" s="25"/>
      <c r="R67" s="25"/>
      <c r="S67" s="25"/>
      <c r="T67" s="225">
        <f>IF($S$6="Exclude", SUMIFS(S68:S71, J68:J71, "&lt;&gt;Yes", G68:G71, "&lt;&gt;Yes"), SUMIFS(S68:S71, J68:J71, "&lt;&gt;Yes"))</f>
        <v>5.5</v>
      </c>
      <c r="U67" s="25"/>
      <c r="V67" s="25"/>
      <c r="W67" s="25"/>
      <c r="X67" s="26"/>
      <c r="Y67" s="27"/>
      <c r="Z67" s="27"/>
      <c r="AA67" s="27"/>
      <c r="AB67" s="155"/>
      <c r="AC67" s="28"/>
      <c r="AD67" s="226" t="str">
        <f>IF(M67="", "Error: Task name cannot be empty.", "")</f>
        <v/>
      </c>
    </row>
    <row r="68" spans="1:30" s="9" customFormat="1" ht="1.5" customHeight="1" outlineLevel="2" x14ac:dyDescent="0.2">
      <c r="A68" s="212" t="s">
        <v>54</v>
      </c>
      <c r="B68" s="14"/>
      <c r="C68" s="61"/>
      <c r="D68" s="61"/>
      <c r="E68" s="61"/>
      <c r="F68" s="60"/>
      <c r="G68" s="24"/>
      <c r="H68" s="24"/>
      <c r="I68" s="24"/>
      <c r="J68" s="24"/>
      <c r="K68" s="24"/>
      <c r="L68" s="227">
        <f ca="1">L67</f>
        <v>1</v>
      </c>
      <c r="M68" s="228" t="s">
        <v>55</v>
      </c>
      <c r="N68" s="118"/>
      <c r="O68" s="119"/>
      <c r="P68" s="25"/>
      <c r="Q68" s="25"/>
      <c r="R68" s="25"/>
      <c r="S68" s="25"/>
      <c r="T68" s="114"/>
      <c r="U68" s="25"/>
      <c r="V68" s="25"/>
      <c r="W68" s="25"/>
      <c r="X68" s="26"/>
      <c r="Y68" s="27"/>
      <c r="Z68" s="27"/>
      <c r="AA68" s="27"/>
      <c r="AB68" s="28"/>
      <c r="AC68" s="28"/>
      <c r="AD68" s="19"/>
    </row>
    <row r="69" spans="1:30" ht="43.5" customHeight="1" outlineLevel="2" x14ac:dyDescent="0.2">
      <c r="A69" s="212" t="s">
        <v>49</v>
      </c>
      <c r="B69" s="14"/>
      <c r="C69" s="62"/>
      <c r="D69" s="62"/>
      <c r="E69" s="62"/>
      <c r="F69" s="63"/>
      <c r="G69" s="15" t="s">
        <v>57</v>
      </c>
      <c r="H69" s="15" t="s">
        <v>57</v>
      </c>
      <c r="I69" s="16" t="s">
        <v>57</v>
      </c>
      <c r="J69" s="15" t="s">
        <v>57</v>
      </c>
      <c r="K69" s="30"/>
      <c r="L69" s="15"/>
      <c r="M69" s="229" t="str">
        <f ca="1">IFERROR(OFFSET(M69,-1,,1,1)+0.1,OFFSET(M69,-1,-1,1,1)&amp;".1")</f>
        <v>1.1</v>
      </c>
      <c r="N69" s="16" t="s">
        <v>144</v>
      </c>
      <c r="O69" s="16"/>
      <c r="P69" s="16"/>
      <c r="Q69" s="100">
        <v>1</v>
      </c>
      <c r="R69" s="95"/>
      <c r="S69" s="230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16"/>
      <c r="U69" s="17">
        <v>0</v>
      </c>
      <c r="V69" s="17">
        <v>1</v>
      </c>
      <c r="W69" s="17">
        <v>0</v>
      </c>
      <c r="X69" s="115">
        <v>2.5</v>
      </c>
      <c r="Y69" s="230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18"/>
      <c r="AA69" s="230">
        <f>Y69+Y69*VLOOKUP(I69,EXTRAS_ARRAY,2,FALSE)</f>
        <v>2.5</v>
      </c>
      <c r="AB69" s="16" t="s">
        <v>145</v>
      </c>
      <c r="AC69" s="29"/>
      <c r="AD69" s="226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ht="43.5" customHeight="1" outlineLevel="2" x14ac:dyDescent="0.2">
      <c r="A70" s="212" t="s">
        <v>49</v>
      </c>
      <c r="B70" s="14"/>
      <c r="C70" s="62"/>
      <c r="D70" s="62"/>
      <c r="E70" s="62"/>
      <c r="F70" s="63"/>
      <c r="G70" s="15" t="s">
        <v>57</v>
      </c>
      <c r="H70" s="15" t="s">
        <v>57</v>
      </c>
      <c r="I70" s="16" t="s">
        <v>57</v>
      </c>
      <c r="J70" s="15" t="s">
        <v>57</v>
      </c>
      <c r="K70" s="30"/>
      <c r="L70" s="15"/>
      <c r="M70" s="229">
        <f ca="1">IFERROR(OFFSET(M70,-1,,1,1)+0.1,OFFSET(M70,-1,-1,1,1)&amp;".1")</f>
        <v>1.2000000000000002</v>
      </c>
      <c r="N70" s="16" t="s">
        <v>146</v>
      </c>
      <c r="O70" s="16"/>
      <c r="P70" s="16" t="s">
        <v>147</v>
      </c>
      <c r="Q70" s="100">
        <v>12</v>
      </c>
      <c r="R70" s="95"/>
      <c r="S70" s="230">
        <f>CEILING((IF(J70="Yes", 0, IF(H70="-",AA70,AA70+AA70*VLOOKUP(H70,BUFFERS_BY_TYPE,2,FALSE)))) +
   (IF(J70="Yes", 0, IF(H70="-",AA70,AA70+AA70*VLOOKUP(H70,BUFFERS_BY_TYPE,2,FALSE))))*VLOOKUP($S$5, SALES_CALL_SCALE_ARRAY, 2,FALSE),0.25)</f>
        <v>3</v>
      </c>
      <c r="T70" s="116"/>
      <c r="U70" s="17">
        <v>0</v>
      </c>
      <c r="V70" s="17">
        <v>1</v>
      </c>
      <c r="W70" s="17">
        <v>0</v>
      </c>
      <c r="X70" s="115">
        <v>0.25</v>
      </c>
      <c r="Y70" s="230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>3</v>
      </c>
      <c r="Z70" s="18"/>
      <c r="AA70" s="230">
        <f>Y70+Y70*VLOOKUP(I70,EXTRAS_ARRAY,2,FALSE)</f>
        <v>3</v>
      </c>
      <c r="AB70" s="16" t="s">
        <v>148</v>
      </c>
      <c r="AC70" s="29"/>
      <c r="AD70" s="226" t="str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/>
      </c>
    </row>
    <row r="71" spans="1:30" s="6" customFormat="1" ht="7.5" customHeight="1" outlineLevel="2" x14ac:dyDescent="0.2">
      <c r="A71" s="212" t="s">
        <v>68</v>
      </c>
      <c r="B71" s="12"/>
      <c r="C71" s="56"/>
      <c r="D71" s="56"/>
      <c r="E71" s="56"/>
      <c r="F71" s="56"/>
      <c r="M71" s="180"/>
      <c r="T71" s="12"/>
      <c r="X71" s="12"/>
      <c r="AB71" s="7"/>
      <c r="AC71" s="7"/>
      <c r="AD71" s="7"/>
    </row>
    <row r="72" spans="1:30" s="11" customFormat="1" ht="15.5" customHeight="1" outlineLevel="1" x14ac:dyDescent="0.2">
      <c r="A72" s="212" t="s">
        <v>52</v>
      </c>
      <c r="B72" s="14"/>
      <c r="C72" s="61"/>
      <c r="D72" s="61"/>
      <c r="E72" s="61"/>
      <c r="F72" s="60"/>
      <c r="G72" s="24"/>
      <c r="H72" s="24"/>
      <c r="I72" s="24"/>
      <c r="J72" s="24"/>
      <c r="K72" s="24"/>
      <c r="L72" s="223">
        <f ca="1">LOOKUP(1000,INDIRECT("L1:"&amp;CELL("address",INDIRECT("R[-1]C",FALSE))))+1</f>
        <v>2</v>
      </c>
      <c r="M72" s="299" t="s">
        <v>149</v>
      </c>
      <c r="N72" s="294"/>
      <c r="O72" s="4"/>
      <c r="P72" s="25"/>
      <c r="Q72" s="25"/>
      <c r="R72" s="25"/>
      <c r="S72" s="25"/>
      <c r="T72" s="225">
        <f>IF($S$6="Exclude", SUMIFS(S73:S75, J73:J75, "&lt;&gt;Yes", G73:G75, "&lt;&gt;Yes"), SUMIFS(S73:S75, J73:J75, "&lt;&gt;Yes"))</f>
        <v>0</v>
      </c>
      <c r="U72" s="25"/>
      <c r="V72" s="25"/>
      <c r="W72" s="25"/>
      <c r="X72" s="26"/>
      <c r="Y72" s="27"/>
      <c r="Z72" s="27"/>
      <c r="AA72" s="27"/>
      <c r="AB72" s="155"/>
      <c r="AC72" s="28"/>
      <c r="AD72" s="226" t="str">
        <f>IF(M72="", "Error: Task name cannot be empty.", "")</f>
        <v/>
      </c>
    </row>
    <row r="73" spans="1:30" s="9" customFormat="1" ht="1.5" customHeight="1" outlineLevel="2" x14ac:dyDescent="0.2">
      <c r="A73" s="212" t="s">
        <v>54</v>
      </c>
      <c r="B73" s="14"/>
      <c r="C73" s="61"/>
      <c r="D73" s="61"/>
      <c r="E73" s="61"/>
      <c r="F73" s="60"/>
      <c r="G73" s="24"/>
      <c r="H73" s="24"/>
      <c r="I73" s="24"/>
      <c r="J73" s="24"/>
      <c r="K73" s="24"/>
      <c r="L73" s="227">
        <f ca="1">L72</f>
        <v>2</v>
      </c>
      <c r="M73" s="228" t="s">
        <v>55</v>
      </c>
      <c r="N73" s="118"/>
      <c r="O73" s="119"/>
      <c r="P73" s="25"/>
      <c r="Q73" s="25"/>
      <c r="R73" s="25"/>
      <c r="S73" s="25"/>
      <c r="T73" s="114"/>
      <c r="U73" s="25"/>
      <c r="V73" s="25"/>
      <c r="W73" s="25"/>
      <c r="X73" s="26"/>
      <c r="Y73" s="27"/>
      <c r="Z73" s="27"/>
      <c r="AA73" s="27"/>
      <c r="AB73" s="28"/>
      <c r="AC73" s="28"/>
      <c r="AD73" s="19"/>
    </row>
    <row r="74" spans="1:30" ht="43.5" customHeight="1" outlineLevel="2" x14ac:dyDescent="0.2">
      <c r="A74" s="212" t="s">
        <v>49</v>
      </c>
      <c r="B74" s="14"/>
      <c r="C74" s="62"/>
      <c r="D74" s="62"/>
      <c r="E74" s="62"/>
      <c r="F74" s="63"/>
      <c r="G74" s="15" t="s">
        <v>57</v>
      </c>
      <c r="H74" s="15" t="s">
        <v>57</v>
      </c>
      <c r="I74" s="16" t="s">
        <v>57</v>
      </c>
      <c r="J74" s="15" t="s">
        <v>56</v>
      </c>
      <c r="K74" s="30"/>
      <c r="L74" s="15"/>
      <c r="M74" s="229" t="str">
        <f ca="1">IFERROR(OFFSET(M74,-1,,1,1)+0.1,OFFSET(M74,-1,-1,1,1)&amp;".1")</f>
        <v>2.1</v>
      </c>
      <c r="N74" s="16" t="s">
        <v>150</v>
      </c>
      <c r="O74" s="16"/>
      <c r="P74" s="16"/>
      <c r="Q74" s="100"/>
      <c r="R74" s="95"/>
      <c r="S74" s="230">
        <f>CEILING((IF(J74="Yes", 0, IF(H74="-",AA74,AA74+AA74*VLOOKUP(H74,BUFFERS_BY_TYPE,2,FALSE)))) +
   (IF(J74="Yes", 0, IF(H74="-",AA74,AA74+AA74*VLOOKUP(H74,BUFFERS_BY_TYPE,2,FALSE))))*VLOOKUP($S$5, SALES_CALL_SCALE_ARRAY, 2,FALSE),0.25)</f>
        <v>0</v>
      </c>
      <c r="T74" s="116"/>
      <c r="U74" s="17">
        <v>0</v>
      </c>
      <c r="V74" s="17">
        <v>1</v>
      </c>
      <c r="W74" s="17">
        <v>0</v>
      </c>
      <c r="X74" s="115"/>
      <c r="Y74" s="230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0</v>
      </c>
      <c r="Z74" s="18"/>
      <c r="AA74" s="230">
        <f>Y74+Y74*VLOOKUP(I74,EXTRAS_ARRAY,2,FALSE)</f>
        <v>0</v>
      </c>
      <c r="AB74" s="16" t="s">
        <v>151</v>
      </c>
      <c r="AC74" s="29"/>
      <c r="AD74" s="226" t="b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>0</v>
      </c>
    </row>
    <row r="75" spans="1:30" s="6" customFormat="1" ht="7.5" customHeight="1" outlineLevel="2" x14ac:dyDescent="0.2">
      <c r="A75" s="212" t="s">
        <v>68</v>
      </c>
      <c r="B75" s="12"/>
      <c r="C75" s="56"/>
      <c r="D75" s="56"/>
      <c r="E75" s="56"/>
      <c r="F75" s="56"/>
      <c r="M75" s="180"/>
      <c r="T75" s="12"/>
      <c r="X75" s="12"/>
      <c r="AB75" s="7"/>
      <c r="AC75" s="7"/>
      <c r="AD75" s="7"/>
    </row>
    <row r="76" spans="1:30" s="11" customFormat="1" ht="15.5" customHeight="1" outlineLevel="1" x14ac:dyDescent="0.2">
      <c r="A76" s="212" t="s">
        <v>52</v>
      </c>
      <c r="B76" s="14"/>
      <c r="C76" s="61"/>
      <c r="D76" s="61"/>
      <c r="E76" s="61"/>
      <c r="F76" s="60"/>
      <c r="G76" s="24"/>
      <c r="H76" s="24"/>
      <c r="I76" s="24"/>
      <c r="J76" s="24"/>
      <c r="K76" s="24"/>
      <c r="L76" s="223">
        <f ca="1">LOOKUP(1000,INDIRECT("L1:"&amp;CELL("address",INDIRECT("R[-1]C",FALSE))))+1</f>
        <v>3</v>
      </c>
      <c r="M76" s="299" t="s">
        <v>152</v>
      </c>
      <c r="N76" s="294"/>
      <c r="O76" s="4"/>
      <c r="P76" s="25"/>
      <c r="Q76" s="25"/>
      <c r="R76" s="25"/>
      <c r="S76" s="25"/>
      <c r="T76" s="225">
        <f>IF($S$6="Exclude", SUMIFS(S77:S82, J77:J82, "&lt;&gt;Yes", G77:G82, "&lt;&gt;Yes"), SUMIFS(S77:S82, J77:J82, "&lt;&gt;Yes"))</f>
        <v>18</v>
      </c>
      <c r="U76" s="25"/>
      <c r="V76" s="25"/>
      <c r="W76" s="25"/>
      <c r="X76" s="26"/>
      <c r="Y76" s="27"/>
      <c r="Z76" s="27"/>
      <c r="AA76" s="27"/>
      <c r="AB76" s="155"/>
      <c r="AC76" s="28"/>
      <c r="AD76" s="226" t="str">
        <f>IF(M76="", "Error: Task name cannot be empty.", "")</f>
        <v/>
      </c>
    </row>
    <row r="77" spans="1:30" s="9" customFormat="1" ht="1.5" customHeight="1" outlineLevel="2" x14ac:dyDescent="0.2">
      <c r="A77" s="212" t="s">
        <v>54</v>
      </c>
      <c r="B77" s="14"/>
      <c r="C77" s="61"/>
      <c r="D77" s="61"/>
      <c r="E77" s="61"/>
      <c r="F77" s="60"/>
      <c r="G77" s="24"/>
      <c r="H77" s="24"/>
      <c r="I77" s="24"/>
      <c r="J77" s="24"/>
      <c r="K77" s="24"/>
      <c r="L77" s="227">
        <f ca="1">L76</f>
        <v>3</v>
      </c>
      <c r="M77" s="228" t="s">
        <v>55</v>
      </c>
      <c r="N77" s="118"/>
      <c r="O77" s="119"/>
      <c r="P77" s="25"/>
      <c r="Q77" s="25"/>
      <c r="R77" s="25"/>
      <c r="S77" s="25"/>
      <c r="T77" s="114"/>
      <c r="U77" s="25"/>
      <c r="V77" s="25"/>
      <c r="W77" s="25"/>
      <c r="X77" s="26"/>
      <c r="Y77" s="27"/>
      <c r="Z77" s="27"/>
      <c r="AA77" s="27"/>
      <c r="AB77" s="28"/>
      <c r="AC77" s="28"/>
      <c r="AD77" s="19"/>
    </row>
    <row r="78" spans="1:30" ht="43.5" customHeight="1" outlineLevel="2" x14ac:dyDescent="0.2">
      <c r="A78" s="212" t="s">
        <v>49</v>
      </c>
      <c r="B78" s="14"/>
      <c r="C78" s="62"/>
      <c r="D78" s="62"/>
      <c r="E78" s="62"/>
      <c r="F78" s="63"/>
      <c r="G78" s="15" t="s">
        <v>57</v>
      </c>
      <c r="H78" s="15" t="s">
        <v>57</v>
      </c>
      <c r="I78" s="16" t="s">
        <v>57</v>
      </c>
      <c r="J78" s="15" t="s">
        <v>57</v>
      </c>
      <c r="K78" s="30"/>
      <c r="L78" s="15"/>
      <c r="M78" s="229" t="str">
        <f ca="1">IFERROR(OFFSET(M78,-1,,1,1)+0.1,OFFSET(M78,-1,-1,1,1)&amp;".1")</f>
        <v>3.1</v>
      </c>
      <c r="N78" s="16" t="s">
        <v>153</v>
      </c>
      <c r="O78" s="16"/>
      <c r="P78" s="16"/>
      <c r="Q78" s="100">
        <v>1</v>
      </c>
      <c r="R78" s="95"/>
      <c r="S78" s="230">
        <f>CEILING((IF(J78="Yes", 0, IF(H78="-",AA78,AA78+AA78*VLOOKUP(H78,BUFFERS_BY_TYPE,2,FALSE)))) +
   (IF(J78="Yes", 0, IF(H78="-",AA78,AA78+AA78*VLOOKUP(H78,BUFFERS_BY_TYPE,2,FALSE))))*VLOOKUP($S$5, SALES_CALL_SCALE_ARRAY, 2,FALSE),0.25)</f>
        <v>7</v>
      </c>
      <c r="T78" s="116"/>
      <c r="U78" s="17">
        <v>0</v>
      </c>
      <c r="V78" s="17">
        <v>1</v>
      </c>
      <c r="W78" s="17">
        <v>0</v>
      </c>
      <c r="X78" s="115">
        <v>7</v>
      </c>
      <c r="Y78" s="230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7</v>
      </c>
      <c r="Z78" s="18"/>
      <c r="AA78" s="230">
        <f>Y78+Y78*VLOOKUP(I78,EXTRAS_ARRAY,2,FALSE)</f>
        <v>7</v>
      </c>
      <c r="AB78" s="16" t="s">
        <v>154</v>
      </c>
      <c r="AC78" s="29"/>
      <c r="AD78" s="226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43.5" customHeight="1" outlineLevel="2" x14ac:dyDescent="0.2">
      <c r="A79" s="212" t="s">
        <v>49</v>
      </c>
      <c r="B79" s="14"/>
      <c r="C79" s="62"/>
      <c r="D79" s="62"/>
      <c r="E79" s="62"/>
      <c r="F79" s="63"/>
      <c r="G79" s="15" t="s">
        <v>57</v>
      </c>
      <c r="H79" s="15" t="s">
        <v>57</v>
      </c>
      <c r="I79" s="16" t="s">
        <v>57</v>
      </c>
      <c r="J79" s="15" t="s">
        <v>57</v>
      </c>
      <c r="K79" s="30"/>
      <c r="L79" s="15"/>
      <c r="M79" s="229">
        <f ca="1">IFERROR(OFFSET(M79,-1,,1,1)+0.1,OFFSET(M79,-1,-1,1,1)&amp;".1")</f>
        <v>3.2</v>
      </c>
      <c r="N79" s="16" t="s">
        <v>155</v>
      </c>
      <c r="O79" s="16"/>
      <c r="P79" s="16"/>
      <c r="Q79" s="100">
        <v>1</v>
      </c>
      <c r="R79" s="95"/>
      <c r="S79" s="230">
        <f>CEILING((IF(J79="Yes", 0, IF(H79="-",AA79,AA79+AA79*VLOOKUP(H79,BUFFERS_BY_TYPE,2,FALSE)))) +
   (IF(J79="Yes", 0, IF(H79="-",AA79,AA79+AA79*VLOOKUP(H79,BUFFERS_BY_TYPE,2,FALSE))))*VLOOKUP($S$5, SALES_CALL_SCALE_ARRAY, 2,FALSE),0.25)</f>
        <v>3</v>
      </c>
      <c r="T79" s="116"/>
      <c r="U79" s="17">
        <v>0</v>
      </c>
      <c r="V79" s="17">
        <v>1</v>
      </c>
      <c r="W79" s="17">
        <v>0</v>
      </c>
      <c r="X79" s="115">
        <v>3</v>
      </c>
      <c r="Y79" s="230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3</v>
      </c>
      <c r="Z79" s="18"/>
      <c r="AA79" s="230">
        <f>Y79+Y79*VLOOKUP(I79,EXTRAS_ARRAY,2,FALSE)</f>
        <v>3</v>
      </c>
      <c r="AB79" s="16" t="s">
        <v>156</v>
      </c>
      <c r="AC79" s="29"/>
      <c r="AD79" s="226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43.5" customHeight="1" outlineLevel="2" x14ac:dyDescent="0.2">
      <c r="A80" s="212" t="s">
        <v>49</v>
      </c>
      <c r="B80" s="14"/>
      <c r="C80" s="62"/>
      <c r="D80" s="62"/>
      <c r="E80" s="62"/>
      <c r="F80" s="63"/>
      <c r="G80" s="15" t="s">
        <v>57</v>
      </c>
      <c r="H80" s="15" t="s">
        <v>57</v>
      </c>
      <c r="I80" s="16" t="s">
        <v>57</v>
      </c>
      <c r="J80" s="15" t="s">
        <v>57</v>
      </c>
      <c r="K80" s="30"/>
      <c r="L80" s="15"/>
      <c r="M80" s="229">
        <f ca="1">IFERROR(OFFSET(M80,-1,,1,1)+0.1,OFFSET(M80,-1,-1,1,1)&amp;".1")</f>
        <v>3.3000000000000003</v>
      </c>
      <c r="N80" s="16" t="s">
        <v>157</v>
      </c>
      <c r="O80" s="16"/>
      <c r="P80" s="16" t="s">
        <v>147</v>
      </c>
      <c r="Q80" s="100">
        <v>12</v>
      </c>
      <c r="R80" s="95"/>
      <c r="S80" s="230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16"/>
      <c r="U80" s="17">
        <v>0</v>
      </c>
      <c r="V80" s="17">
        <v>1</v>
      </c>
      <c r="W80" s="17">
        <v>0</v>
      </c>
      <c r="X80" s="115">
        <v>0.5</v>
      </c>
      <c r="Y80" s="230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18"/>
      <c r="AA80" s="230">
        <f>Y80+Y80*VLOOKUP(I80,EXTRAS_ARRAY,2,FALSE)</f>
        <v>6</v>
      </c>
      <c r="AB80" s="16" t="s">
        <v>158</v>
      </c>
      <c r="AC80" s="29"/>
      <c r="AD80" s="226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ht="43.5" customHeight="1" outlineLevel="2" x14ac:dyDescent="0.2">
      <c r="A81" s="212" t="s">
        <v>49</v>
      </c>
      <c r="B81" s="14"/>
      <c r="C81" s="62"/>
      <c r="D81" s="62"/>
      <c r="E81" s="62"/>
      <c r="F81" s="63"/>
      <c r="G81" s="15" t="s">
        <v>57</v>
      </c>
      <c r="H81" s="15" t="s">
        <v>57</v>
      </c>
      <c r="I81" s="16" t="s">
        <v>57</v>
      </c>
      <c r="J81" s="15" t="s">
        <v>57</v>
      </c>
      <c r="K81" s="30"/>
      <c r="L81" s="15"/>
      <c r="M81" s="229">
        <f ca="1">IFERROR(OFFSET(M81,-1,,1,1)+0.1,OFFSET(M81,-1,-1,1,1)&amp;".1")</f>
        <v>3.4000000000000004</v>
      </c>
      <c r="N81" s="16" t="s">
        <v>159</v>
      </c>
      <c r="O81" s="16"/>
      <c r="P81" s="16"/>
      <c r="Q81" s="100">
        <v>1</v>
      </c>
      <c r="R81" s="95"/>
      <c r="S81" s="230">
        <f>CEILING((IF(J81="Yes", 0, IF(H81="-",AA81,AA81+AA81*VLOOKUP(H81,BUFFERS_BY_TYPE,2,FALSE)))) +
   (IF(J81="Yes", 0, IF(H81="-",AA81,AA81+AA81*VLOOKUP(H81,BUFFERS_BY_TYPE,2,FALSE))))*VLOOKUP($S$5, SALES_CALL_SCALE_ARRAY, 2,FALSE),0.25)</f>
        <v>2</v>
      </c>
      <c r="T81" s="116"/>
      <c r="U81" s="17">
        <v>0</v>
      </c>
      <c r="V81" s="17">
        <v>1</v>
      </c>
      <c r="W81" s="17">
        <v>0</v>
      </c>
      <c r="X81" s="115">
        <v>2</v>
      </c>
      <c r="Y81" s="230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2</v>
      </c>
      <c r="Z81" s="18"/>
      <c r="AA81" s="230">
        <f>Y81+Y81*VLOOKUP(I81,EXTRAS_ARRAY,2,FALSE)</f>
        <v>2</v>
      </c>
      <c r="AB81" s="16" t="s">
        <v>160</v>
      </c>
      <c r="AC81" s="29"/>
      <c r="AD81" s="226" t="str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s="6" customFormat="1" ht="7.5" customHeight="1" outlineLevel="2" x14ac:dyDescent="0.2">
      <c r="A82" s="212" t="s">
        <v>68</v>
      </c>
      <c r="B82" s="12"/>
      <c r="C82" s="56"/>
      <c r="D82" s="56"/>
      <c r="E82" s="56"/>
      <c r="F82" s="56"/>
      <c r="M82" s="180"/>
      <c r="T82" s="12"/>
      <c r="X82" s="12"/>
      <c r="AB82" s="7"/>
      <c r="AC82" s="7"/>
      <c r="AD82" s="7"/>
    </row>
    <row r="83" spans="1:30" s="11" customFormat="1" ht="15.5" customHeight="1" outlineLevel="1" x14ac:dyDescent="0.2">
      <c r="A83" s="212" t="s">
        <v>52</v>
      </c>
      <c r="B83" s="14"/>
      <c r="C83" s="61"/>
      <c r="D83" s="61"/>
      <c r="E83" s="61"/>
      <c r="F83" s="60"/>
      <c r="G83" s="24"/>
      <c r="H83" s="24"/>
      <c r="I83" s="24"/>
      <c r="J83" s="24"/>
      <c r="K83" s="24"/>
      <c r="L83" s="223">
        <f ca="1">LOOKUP(1000,INDIRECT("L1:"&amp;CELL("address",INDIRECT("R[-1]C",FALSE))))+1</f>
        <v>4</v>
      </c>
      <c r="M83" s="299" t="s">
        <v>161</v>
      </c>
      <c r="N83" s="294"/>
      <c r="O83" s="4"/>
      <c r="P83" s="25"/>
      <c r="Q83" s="25"/>
      <c r="R83" s="25"/>
      <c r="S83" s="25"/>
      <c r="T83" s="225">
        <f>IF($S$6="Exclude", SUMIFS(S84:S93, J84:J93, "&lt;&gt;Yes", G84:G93, "&lt;&gt;Yes"), SUMIFS(S84:S93, J84:J93, "&lt;&gt;Yes"))</f>
        <v>29</v>
      </c>
      <c r="U83" s="25"/>
      <c r="V83" s="25"/>
      <c r="W83" s="25"/>
      <c r="X83" s="26"/>
      <c r="Y83" s="27"/>
      <c r="Z83" s="27"/>
      <c r="AA83" s="27"/>
      <c r="AB83" s="155"/>
      <c r="AC83" s="28"/>
      <c r="AD83" s="226" t="str">
        <f>IF(M83="", "Error: Task name cannot be empty.", "")</f>
        <v/>
      </c>
    </row>
    <row r="84" spans="1:30" s="9" customFormat="1" ht="1.5" customHeight="1" outlineLevel="2" x14ac:dyDescent="0.2">
      <c r="A84" s="212" t="s">
        <v>54</v>
      </c>
      <c r="B84" s="14"/>
      <c r="C84" s="61"/>
      <c r="D84" s="61"/>
      <c r="E84" s="61"/>
      <c r="F84" s="60"/>
      <c r="G84" s="24"/>
      <c r="H84" s="24"/>
      <c r="I84" s="24"/>
      <c r="J84" s="24"/>
      <c r="K84" s="24"/>
      <c r="L84" s="227">
        <f ca="1">L83</f>
        <v>4</v>
      </c>
      <c r="M84" s="228" t="s">
        <v>55</v>
      </c>
      <c r="N84" s="118"/>
      <c r="O84" s="119"/>
      <c r="P84" s="25"/>
      <c r="Q84" s="25"/>
      <c r="R84" s="25"/>
      <c r="S84" s="25"/>
      <c r="T84" s="114"/>
      <c r="U84" s="25"/>
      <c r="V84" s="25"/>
      <c r="W84" s="25"/>
      <c r="X84" s="26"/>
      <c r="Y84" s="27"/>
      <c r="Z84" s="27"/>
      <c r="AA84" s="27"/>
      <c r="AB84" s="28"/>
      <c r="AC84" s="28"/>
      <c r="AD84" s="19"/>
    </row>
    <row r="85" spans="1:30" ht="72.5" customHeight="1" outlineLevel="2" x14ac:dyDescent="0.2">
      <c r="A85" s="212" t="s">
        <v>49</v>
      </c>
      <c r="B85" s="14"/>
      <c r="C85" s="62"/>
      <c r="D85" s="62"/>
      <c r="E85" s="62"/>
      <c r="F85" s="63"/>
      <c r="G85" s="15" t="s">
        <v>57</v>
      </c>
      <c r="H85" s="15" t="s">
        <v>57</v>
      </c>
      <c r="I85" s="16" t="s">
        <v>57</v>
      </c>
      <c r="J85" s="15" t="s">
        <v>57</v>
      </c>
      <c r="K85" s="30"/>
      <c r="L85" s="15"/>
      <c r="M85" s="229" t="str">
        <f t="shared" ref="M85:M92" ca="1" si="3">IFERROR(OFFSET(M85,-1,,1,1)+0.1,OFFSET(M85,-1,-1,1,1)&amp;".1")</f>
        <v>4.1</v>
      </c>
      <c r="N85" s="16" t="s">
        <v>162</v>
      </c>
      <c r="O85" s="16"/>
      <c r="P85" s="16"/>
      <c r="Q85" s="100">
        <v>1</v>
      </c>
      <c r="R85" s="95"/>
      <c r="S85" s="230">
        <f>CEILING((IF(J85="Yes", 0, IF(H85="-",AA85,AA85+AA85*VLOOKUP(H85,BUFFERS_BY_TYPE,2,FALSE)))) +
   (IF(J85="Yes", 0, IF(H85="-",AA85,AA85+AA85*VLOOKUP(H85,BUFFERS_BY_TYPE,2,FALSE))))*VLOOKUP($S$5, SALES_CALL_SCALE_ARRAY, 2,FALSE),0.25)</f>
        <v>6</v>
      </c>
      <c r="T85" s="116"/>
      <c r="U85" s="17">
        <v>0</v>
      </c>
      <c r="V85" s="17">
        <v>1</v>
      </c>
      <c r="W85" s="17">
        <v>0</v>
      </c>
      <c r="X85" s="115">
        <v>6</v>
      </c>
      <c r="Y85" s="230">
        <f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>6</v>
      </c>
      <c r="Z85" s="18"/>
      <c r="AA85" s="230">
        <f t="shared" ref="AA85:AA92" si="4">Y85+Y85*VLOOKUP(I85,EXTRAS_ARRAY,2,FALSE)</f>
        <v>6</v>
      </c>
      <c r="AB85" s="16" t="s">
        <v>163</v>
      </c>
      <c r="AC85" s="29"/>
      <c r="AD85" s="226" t="str">
        <f t="shared" ref="AD85:AD92" si="5"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/>
      </c>
    </row>
    <row r="86" spans="1:30" ht="43.5" customHeight="1" outlineLevel="2" x14ac:dyDescent="0.2">
      <c r="A86" s="212" t="s">
        <v>49</v>
      </c>
      <c r="B86" s="14"/>
      <c r="C86" s="62"/>
      <c r="D86" s="62"/>
      <c r="E86" s="62"/>
      <c r="F86" s="63"/>
      <c r="G86" s="15" t="s">
        <v>57</v>
      </c>
      <c r="H86" s="15" t="s">
        <v>57</v>
      </c>
      <c r="I86" s="16" t="s">
        <v>57</v>
      </c>
      <c r="J86" s="15" t="s">
        <v>57</v>
      </c>
      <c r="K86" s="30"/>
      <c r="L86" s="15"/>
      <c r="M86" s="229">
        <f t="shared" ca="1" si="3"/>
        <v>4.1999999999999993</v>
      </c>
      <c r="N86" s="16" t="s">
        <v>164</v>
      </c>
      <c r="O86" s="16"/>
      <c r="P86" s="16"/>
      <c r="Q86" s="100">
        <v>1</v>
      </c>
      <c r="R86" s="95"/>
      <c r="S86" s="230">
        <f t="shared" ref="S86:S92" si="6">CEILING((IF(J86="Yes", 0, IF(H86="-",AA86,AA86+AA86*VLOOKUP(H86,BUFFERS_BY_TYPE,2,FALSE)))) +
(IF(J86="Yes", 0, IF(H86="-",AA86,AA86+AA86*VLOOKUP(H86,BUFFERS_BY_TYPE,2,FALSE))))*VLOOKUP($S$5, SALES_CALL_SCALE_ARRAY, 2,FALSE),0.25)</f>
        <v>4</v>
      </c>
      <c r="T86" s="116"/>
      <c r="U86" s="17">
        <v>0</v>
      </c>
      <c r="V86" s="17">
        <v>1</v>
      </c>
      <c r="W86" s="17">
        <v>0</v>
      </c>
      <c r="X86" s="115">
        <v>4</v>
      </c>
      <c r="Y86" s="230">
        <f t="shared" ref="Y86:Y92" si="7">CEILING((IF(P86=AS_DEV_EFFORT, DEV_EFFORT*Q86%,
IF(P86=AS_DURATION_EFFORT, (MANUAL_DURATION*5)*Q86%,
(IF(Q86&lt;=1,X86,
IF(SUM(U86:W86)=0,(Q86*X86),
(((Q86*U86)*(X86+(X86*EXTRA_FOR_H)))+
((Q86*V86)*X86)+
((Q86*W86)*(X86-(X86*LESS_FOR_L)))
)*IF(R86=0,1,R86))))))+Z86), 0.25)</f>
        <v>4</v>
      </c>
      <c r="Z86" s="18"/>
      <c r="AA86" s="230">
        <f t="shared" si="4"/>
        <v>4</v>
      </c>
      <c r="AB86" s="16" t="s">
        <v>165</v>
      </c>
      <c r="AC86" s="29"/>
      <c r="AD86" s="226" t="str">
        <f t="shared" si="5"/>
        <v/>
      </c>
    </row>
    <row r="87" spans="1:30" ht="43.5" customHeight="1" outlineLevel="2" x14ac:dyDescent="0.2">
      <c r="A87" s="212" t="s">
        <v>49</v>
      </c>
      <c r="B87" s="14"/>
      <c r="C87" s="62"/>
      <c r="D87" s="62"/>
      <c r="E87" s="62"/>
      <c r="F87" s="63"/>
      <c r="G87" s="15" t="s">
        <v>57</v>
      </c>
      <c r="H87" s="15" t="s">
        <v>57</v>
      </c>
      <c r="I87" s="16" t="s">
        <v>57</v>
      </c>
      <c r="J87" s="15" t="s">
        <v>57</v>
      </c>
      <c r="K87" s="30"/>
      <c r="L87" s="15"/>
      <c r="M87" s="229">
        <f t="shared" ca="1" si="3"/>
        <v>4.2999999999999989</v>
      </c>
      <c r="N87" s="16" t="s">
        <v>166</v>
      </c>
      <c r="O87" s="16"/>
      <c r="P87" s="16"/>
      <c r="Q87" s="100">
        <v>1</v>
      </c>
      <c r="R87" s="95"/>
      <c r="S87" s="230">
        <f t="shared" si="6"/>
        <v>4</v>
      </c>
      <c r="T87" s="116"/>
      <c r="U87" s="17">
        <v>0</v>
      </c>
      <c r="V87" s="17">
        <v>1</v>
      </c>
      <c r="W87" s="17">
        <v>0</v>
      </c>
      <c r="X87" s="115">
        <v>4</v>
      </c>
      <c r="Y87" s="230">
        <f t="shared" si="7"/>
        <v>4</v>
      </c>
      <c r="Z87" s="18"/>
      <c r="AA87" s="230">
        <f t="shared" si="4"/>
        <v>4</v>
      </c>
      <c r="AB87" s="16" t="s">
        <v>167</v>
      </c>
      <c r="AC87" s="29"/>
      <c r="AD87" s="226" t="str">
        <f t="shared" si="5"/>
        <v/>
      </c>
    </row>
    <row r="88" spans="1:30" ht="43.5" customHeight="1" outlineLevel="2" x14ac:dyDescent="0.2">
      <c r="A88" s="212" t="s">
        <v>49</v>
      </c>
      <c r="B88" s="14"/>
      <c r="C88" s="62"/>
      <c r="D88" s="62"/>
      <c r="E88" s="62"/>
      <c r="F88" s="63"/>
      <c r="G88" s="15" t="s">
        <v>57</v>
      </c>
      <c r="H88" s="15" t="s">
        <v>57</v>
      </c>
      <c r="I88" s="16" t="s">
        <v>57</v>
      </c>
      <c r="J88" s="15" t="s">
        <v>57</v>
      </c>
      <c r="K88" s="30"/>
      <c r="L88" s="15"/>
      <c r="M88" s="229">
        <f t="shared" ca="1" si="3"/>
        <v>4.3999999999999986</v>
      </c>
      <c r="N88" s="16" t="s">
        <v>168</v>
      </c>
      <c r="O88" s="16"/>
      <c r="P88" s="16"/>
      <c r="Q88" s="100">
        <v>1</v>
      </c>
      <c r="R88" s="95"/>
      <c r="S88" s="230">
        <f t="shared" si="6"/>
        <v>1</v>
      </c>
      <c r="T88" s="116"/>
      <c r="U88" s="17">
        <v>0</v>
      </c>
      <c r="V88" s="17">
        <v>1</v>
      </c>
      <c r="W88" s="17">
        <v>0</v>
      </c>
      <c r="X88" s="115">
        <v>1</v>
      </c>
      <c r="Y88" s="230">
        <f t="shared" si="7"/>
        <v>1</v>
      </c>
      <c r="Z88" s="18"/>
      <c r="AA88" s="230">
        <f t="shared" si="4"/>
        <v>1</v>
      </c>
      <c r="AB88" s="16" t="s">
        <v>169</v>
      </c>
      <c r="AC88" s="29"/>
      <c r="AD88" s="226" t="str">
        <f t="shared" si="5"/>
        <v/>
      </c>
    </row>
    <row r="89" spans="1:30" ht="43.5" customHeight="1" outlineLevel="2" x14ac:dyDescent="0.2">
      <c r="A89" s="212" t="s">
        <v>49</v>
      </c>
      <c r="B89" s="14"/>
      <c r="C89" s="62"/>
      <c r="D89" s="62"/>
      <c r="E89" s="62"/>
      <c r="F89" s="63"/>
      <c r="G89" s="15" t="s">
        <v>57</v>
      </c>
      <c r="H89" s="15" t="s">
        <v>57</v>
      </c>
      <c r="I89" s="16" t="s">
        <v>57</v>
      </c>
      <c r="J89" s="15" t="s">
        <v>57</v>
      </c>
      <c r="K89" s="30"/>
      <c r="L89" s="15"/>
      <c r="M89" s="229">
        <f t="shared" ca="1" si="3"/>
        <v>4.4999999999999982</v>
      </c>
      <c r="N89" s="16" t="s">
        <v>170</v>
      </c>
      <c r="O89" s="16"/>
      <c r="P89" s="16"/>
      <c r="Q89" s="100">
        <v>1</v>
      </c>
      <c r="R89" s="95"/>
      <c r="S89" s="230">
        <f t="shared" si="6"/>
        <v>3</v>
      </c>
      <c r="T89" s="116"/>
      <c r="U89" s="17">
        <v>0</v>
      </c>
      <c r="V89" s="17">
        <v>1</v>
      </c>
      <c r="W89" s="17">
        <v>0</v>
      </c>
      <c r="X89" s="115">
        <v>3</v>
      </c>
      <c r="Y89" s="230">
        <f t="shared" si="7"/>
        <v>3</v>
      </c>
      <c r="Z89" s="18"/>
      <c r="AA89" s="230">
        <f t="shared" si="4"/>
        <v>3</v>
      </c>
      <c r="AB89" s="16" t="s">
        <v>171</v>
      </c>
      <c r="AC89" s="29"/>
      <c r="AD89" s="226" t="str">
        <f t="shared" si="5"/>
        <v/>
      </c>
    </row>
    <row r="90" spans="1:30" ht="43.5" customHeight="1" outlineLevel="2" x14ac:dyDescent="0.2">
      <c r="A90" s="212" t="s">
        <v>49</v>
      </c>
      <c r="B90" s="14"/>
      <c r="C90" s="62"/>
      <c r="D90" s="62"/>
      <c r="E90" s="62"/>
      <c r="F90" s="63"/>
      <c r="G90" s="15" t="s">
        <v>57</v>
      </c>
      <c r="H90" s="15" t="s">
        <v>57</v>
      </c>
      <c r="I90" s="16" t="s">
        <v>57</v>
      </c>
      <c r="J90" s="15" t="s">
        <v>57</v>
      </c>
      <c r="K90" s="30"/>
      <c r="L90" s="15"/>
      <c r="M90" s="229">
        <f t="shared" ca="1" si="3"/>
        <v>4.5999999999999979</v>
      </c>
      <c r="N90" s="16" t="s">
        <v>172</v>
      </c>
      <c r="O90" s="16"/>
      <c r="P90" s="16"/>
      <c r="Q90" s="100">
        <v>1</v>
      </c>
      <c r="R90" s="95"/>
      <c r="S90" s="230">
        <f t="shared" si="6"/>
        <v>1</v>
      </c>
      <c r="T90" s="116"/>
      <c r="U90" s="17">
        <v>0</v>
      </c>
      <c r="V90" s="17">
        <v>1</v>
      </c>
      <c r="W90" s="17">
        <v>0</v>
      </c>
      <c r="X90" s="115">
        <v>1</v>
      </c>
      <c r="Y90" s="230">
        <f t="shared" si="7"/>
        <v>1</v>
      </c>
      <c r="Z90" s="18"/>
      <c r="AA90" s="230">
        <f t="shared" si="4"/>
        <v>1</v>
      </c>
      <c r="AB90" s="16" t="s">
        <v>173</v>
      </c>
      <c r="AC90" s="29"/>
      <c r="AD90" s="226" t="str">
        <f t="shared" si="5"/>
        <v/>
      </c>
    </row>
    <row r="91" spans="1:30" ht="43.5" customHeight="1" outlineLevel="2" x14ac:dyDescent="0.2">
      <c r="A91" s="212" t="s">
        <v>49</v>
      </c>
      <c r="B91" s="14"/>
      <c r="C91" s="62"/>
      <c r="D91" s="62"/>
      <c r="E91" s="62"/>
      <c r="F91" s="63"/>
      <c r="G91" s="15" t="s">
        <v>57</v>
      </c>
      <c r="H91" s="15" t="s">
        <v>57</v>
      </c>
      <c r="I91" s="16" t="s">
        <v>57</v>
      </c>
      <c r="J91" s="15" t="s">
        <v>57</v>
      </c>
      <c r="K91" s="30"/>
      <c r="L91" s="15"/>
      <c r="M91" s="229">
        <f t="shared" ca="1" si="3"/>
        <v>4.6999999999999975</v>
      </c>
      <c r="N91" s="16" t="s">
        <v>174</v>
      </c>
      <c r="O91" s="16"/>
      <c r="P91" s="16"/>
      <c r="Q91" s="100">
        <v>1</v>
      </c>
      <c r="R91" s="95"/>
      <c r="S91" s="230">
        <f t="shared" si="6"/>
        <v>5</v>
      </c>
      <c r="T91" s="116"/>
      <c r="U91" s="17">
        <v>0</v>
      </c>
      <c r="V91" s="17">
        <v>1</v>
      </c>
      <c r="W91" s="17">
        <v>0</v>
      </c>
      <c r="X91" s="115">
        <v>5</v>
      </c>
      <c r="Y91" s="230">
        <f t="shared" si="7"/>
        <v>5</v>
      </c>
      <c r="Z91" s="18"/>
      <c r="AA91" s="230">
        <f t="shared" si="4"/>
        <v>5</v>
      </c>
      <c r="AB91" s="16" t="s">
        <v>175</v>
      </c>
      <c r="AC91" s="29"/>
      <c r="AD91" s="226" t="str">
        <f t="shared" si="5"/>
        <v/>
      </c>
    </row>
    <row r="92" spans="1:30" ht="43.5" customHeight="1" outlineLevel="2" x14ac:dyDescent="0.2">
      <c r="A92" s="212" t="s">
        <v>49</v>
      </c>
      <c r="B92" s="14"/>
      <c r="C92" s="62"/>
      <c r="D92" s="62"/>
      <c r="E92" s="62"/>
      <c r="F92" s="63"/>
      <c r="G92" s="15" t="s">
        <v>57</v>
      </c>
      <c r="H92" s="15" t="s">
        <v>57</v>
      </c>
      <c r="I92" s="16" t="s">
        <v>57</v>
      </c>
      <c r="J92" s="15" t="s">
        <v>57</v>
      </c>
      <c r="K92" s="30"/>
      <c r="L92" s="15"/>
      <c r="M92" s="229">
        <f t="shared" ca="1" si="3"/>
        <v>4.7999999999999972</v>
      </c>
      <c r="N92" s="16" t="s">
        <v>176</v>
      </c>
      <c r="O92" s="16"/>
      <c r="P92" s="16"/>
      <c r="Q92" s="100">
        <v>1</v>
      </c>
      <c r="R92" s="95"/>
      <c r="S92" s="230">
        <f t="shared" si="6"/>
        <v>5</v>
      </c>
      <c r="T92" s="116"/>
      <c r="U92" s="17">
        <v>0</v>
      </c>
      <c r="V92" s="17">
        <v>1</v>
      </c>
      <c r="W92" s="17">
        <v>0</v>
      </c>
      <c r="X92" s="115">
        <v>5</v>
      </c>
      <c r="Y92" s="230">
        <f t="shared" si="7"/>
        <v>5</v>
      </c>
      <c r="Z92" s="18"/>
      <c r="AA92" s="230">
        <f t="shared" si="4"/>
        <v>5</v>
      </c>
      <c r="AB92" s="16" t="s">
        <v>177</v>
      </c>
      <c r="AC92" s="29"/>
      <c r="AD92" s="226" t="str">
        <f t="shared" si="5"/>
        <v/>
      </c>
    </row>
    <row r="93" spans="1:30" s="6" customFormat="1" ht="7.5" customHeight="1" outlineLevel="2" x14ac:dyDescent="0.2">
      <c r="A93" s="212" t="s">
        <v>68</v>
      </c>
      <c r="B93" s="12"/>
      <c r="C93" s="56"/>
      <c r="D93" s="56"/>
      <c r="E93" s="56"/>
      <c r="F93" s="56"/>
      <c r="M93" s="180"/>
      <c r="T93" s="12"/>
      <c r="X93" s="12"/>
      <c r="AB93" s="7"/>
      <c r="AC93" s="7"/>
      <c r="AD93" s="7"/>
    </row>
    <row r="94" spans="1:30" s="6" customFormat="1" ht="3" customHeight="1" outlineLevel="1" x14ac:dyDescent="0.2">
      <c r="A94" s="212" t="s">
        <v>141</v>
      </c>
      <c r="C94" s="56"/>
      <c r="D94" s="56"/>
      <c r="E94" s="56"/>
      <c r="F94" s="56"/>
      <c r="G94" s="21"/>
      <c r="H94" s="21"/>
      <c r="I94" s="21"/>
      <c r="J94" s="21"/>
      <c r="K94" s="21"/>
      <c r="L94" s="48"/>
      <c r="M94" s="189"/>
      <c r="N94" s="49"/>
      <c r="O94" s="49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9"/>
      <c r="AC94" s="49"/>
      <c r="AD94" s="7"/>
    </row>
    <row r="95" spans="1:30" s="11" customFormat="1" ht="18.5" customHeight="1" x14ac:dyDescent="0.2">
      <c r="A95" s="212" t="s">
        <v>46</v>
      </c>
      <c r="B95" s="9"/>
      <c r="C95" s="57"/>
      <c r="D95" s="57"/>
      <c r="E95" s="57"/>
      <c r="F95" s="56"/>
      <c r="G95" s="44"/>
      <c r="H95" s="44"/>
      <c r="I95" s="44"/>
      <c r="J95" s="44"/>
      <c r="K95" s="44"/>
      <c r="L95" s="44" t="s">
        <v>178</v>
      </c>
      <c r="M95" s="187" t="s">
        <v>179</v>
      </c>
      <c r="N95" s="45"/>
      <c r="O95" s="46"/>
      <c r="P95" s="47"/>
      <c r="Q95" s="47"/>
      <c r="R95" s="47"/>
      <c r="S95" s="296">
        <f>CEILING(SUMIF(J96:J134, "&lt;&gt;Yes", T96:T134),1)</f>
        <v>104</v>
      </c>
      <c r="T95" s="294"/>
      <c r="U95" s="47"/>
      <c r="V95" s="47"/>
      <c r="W95" s="47"/>
      <c r="X95" s="123"/>
      <c r="Y95" s="123"/>
      <c r="Z95" s="47"/>
      <c r="AA95" s="123"/>
      <c r="AB95" s="47"/>
      <c r="AC95" s="47"/>
      <c r="AD95" s="10"/>
    </row>
    <row r="96" spans="1:30" s="6" customFormat="1" ht="3" customHeight="1" outlineLevel="1" x14ac:dyDescent="0.2">
      <c r="A96" s="212" t="s">
        <v>51</v>
      </c>
      <c r="B96" s="12"/>
      <c r="C96" s="56"/>
      <c r="D96" s="56"/>
      <c r="E96" s="56"/>
      <c r="F96" s="56"/>
      <c r="G96" s="21"/>
      <c r="H96" s="21"/>
      <c r="I96" s="21"/>
      <c r="J96" s="21"/>
      <c r="K96" s="21"/>
      <c r="L96" s="53">
        <v>0</v>
      </c>
      <c r="M96" s="188"/>
      <c r="N96" s="21"/>
      <c r="O96" s="21"/>
      <c r="P96" s="21"/>
      <c r="Q96" s="21"/>
      <c r="R96" s="21"/>
      <c r="S96" s="21"/>
      <c r="T96" s="22"/>
      <c r="U96" s="21"/>
      <c r="V96" s="21"/>
      <c r="W96" s="21"/>
      <c r="X96" s="22"/>
      <c r="Y96" s="21"/>
      <c r="Z96" s="21"/>
      <c r="AA96" s="21"/>
      <c r="AB96" s="23"/>
      <c r="AC96" s="23"/>
      <c r="AD96" s="7"/>
    </row>
    <row r="97" spans="1:30" s="11" customFormat="1" ht="15.5" customHeight="1" outlineLevel="1" x14ac:dyDescent="0.2">
      <c r="A97" s="212" t="s">
        <v>52</v>
      </c>
      <c r="B97" s="14"/>
      <c r="C97" s="61"/>
      <c r="D97" s="61"/>
      <c r="E97" s="61"/>
      <c r="F97" s="60"/>
      <c r="G97" s="24"/>
      <c r="H97" s="24"/>
      <c r="I97" s="24"/>
      <c r="J97" s="24"/>
      <c r="K97" s="24"/>
      <c r="L97" s="223">
        <f ca="1">LOOKUP(1000,INDIRECT("L1:"&amp;CELL("address",INDIRECT("R[-1]C",FALSE))))+1</f>
        <v>1</v>
      </c>
      <c r="M97" s="299" t="s">
        <v>180</v>
      </c>
      <c r="N97" s="294"/>
      <c r="O97" s="4"/>
      <c r="P97" s="25"/>
      <c r="Q97" s="25"/>
      <c r="R97" s="25"/>
      <c r="S97" s="25"/>
      <c r="T97" s="225">
        <f>IF($S$6="Exclude", SUMIFS(S98:S103, J98:J103, "&lt;&gt;Yes", G98:G103, "&lt;&gt;Yes"), SUMIFS(S98:S103, J98:J103, "&lt;&gt;Yes"))</f>
        <v>8</v>
      </c>
      <c r="U97" s="25"/>
      <c r="V97" s="25"/>
      <c r="W97" s="25"/>
      <c r="X97" s="26"/>
      <c r="Y97" s="27"/>
      <c r="Z97" s="27"/>
      <c r="AA97" s="27"/>
      <c r="AB97" s="155"/>
      <c r="AC97" s="28"/>
      <c r="AD97" s="226" t="str">
        <f>IF(M97="", "Error: Task name cannot be empty.", "")</f>
        <v/>
      </c>
    </row>
    <row r="98" spans="1:30" s="9" customFormat="1" ht="1.5" customHeight="1" outlineLevel="2" x14ac:dyDescent="0.2">
      <c r="A98" s="212" t="s">
        <v>54</v>
      </c>
      <c r="B98" s="14"/>
      <c r="C98" s="61"/>
      <c r="D98" s="61"/>
      <c r="E98" s="61"/>
      <c r="F98" s="60"/>
      <c r="G98" s="24"/>
      <c r="H98" s="24"/>
      <c r="I98" s="24"/>
      <c r="J98" s="24"/>
      <c r="K98" s="24"/>
      <c r="L98" s="227">
        <f ca="1">L97</f>
        <v>1</v>
      </c>
      <c r="M98" s="228" t="s">
        <v>55</v>
      </c>
      <c r="N98" s="118"/>
      <c r="O98" s="119"/>
      <c r="P98" s="25"/>
      <c r="Q98" s="25"/>
      <c r="R98" s="25"/>
      <c r="S98" s="25"/>
      <c r="T98" s="114"/>
      <c r="U98" s="25"/>
      <c r="V98" s="25"/>
      <c r="W98" s="25"/>
      <c r="X98" s="26"/>
      <c r="Y98" s="27"/>
      <c r="Z98" s="27"/>
      <c r="AA98" s="27"/>
      <c r="AB98" s="28"/>
      <c r="AC98" s="28"/>
      <c r="AD98" s="19"/>
    </row>
    <row r="99" spans="1:30" ht="43.5" customHeight="1" outlineLevel="2" x14ac:dyDescent="0.2">
      <c r="A99" s="212" t="s">
        <v>49</v>
      </c>
      <c r="B99" s="14"/>
      <c r="C99" s="62"/>
      <c r="D99" s="62"/>
      <c r="E99" s="62"/>
      <c r="F99" s="63"/>
      <c r="G99" s="15" t="s">
        <v>57</v>
      </c>
      <c r="H99" s="15" t="s">
        <v>57</v>
      </c>
      <c r="I99" s="16" t="s">
        <v>57</v>
      </c>
      <c r="J99" s="15" t="s">
        <v>57</v>
      </c>
      <c r="K99" s="30"/>
      <c r="L99" s="15"/>
      <c r="M99" s="229" t="str">
        <f ca="1">IFERROR(OFFSET(M99,-1,,1,1)+0.1,OFFSET(M99,-1,-1,1,1)&amp;".1")</f>
        <v>1.1</v>
      </c>
      <c r="N99" s="16" t="s">
        <v>181</v>
      </c>
      <c r="O99" s="16"/>
      <c r="P99" s="16"/>
      <c r="Q99" s="100">
        <v>1</v>
      </c>
      <c r="R99" s="95"/>
      <c r="S99" s="230">
        <f>CEILING((IF(J99="Yes", 0, IF(H99="-",AA99,AA99+AA99*VLOOKUP(H99,BUFFERS_BY_TYPE,2,FALSE)))) +
   (IF(J99="Yes", 0, IF(H99="-",AA99,AA99+AA99*VLOOKUP(H99,BUFFERS_BY_TYPE,2,FALSE))))*VLOOKUP($S$5, SALES_CALL_SCALE_ARRAY, 2,FALSE),0.25)</f>
        <v>2</v>
      </c>
      <c r="T99" s="116"/>
      <c r="U99" s="17">
        <v>0</v>
      </c>
      <c r="V99" s="17">
        <v>1</v>
      </c>
      <c r="W99" s="17">
        <v>0</v>
      </c>
      <c r="X99" s="115">
        <v>2</v>
      </c>
      <c r="Y99" s="230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2</v>
      </c>
      <c r="Z99" s="18"/>
      <c r="AA99" s="230">
        <f>Y99+Y99*VLOOKUP(I99,EXTRAS_ARRAY,2,FALSE)</f>
        <v>2</v>
      </c>
      <c r="AB99" s="16" t="s">
        <v>182</v>
      </c>
      <c r="AC99" s="29"/>
      <c r="AD99" s="226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43.5" customHeight="1" outlineLevel="2" x14ac:dyDescent="0.2">
      <c r="A100" s="212" t="s">
        <v>49</v>
      </c>
      <c r="B100" s="14"/>
      <c r="C100" s="62"/>
      <c r="D100" s="62"/>
      <c r="E100" s="62"/>
      <c r="F100" s="63"/>
      <c r="G100" s="15" t="s">
        <v>57</v>
      </c>
      <c r="H100" s="15" t="s">
        <v>57</v>
      </c>
      <c r="I100" s="16" t="s">
        <v>57</v>
      </c>
      <c r="J100" s="15" t="s">
        <v>57</v>
      </c>
      <c r="K100" s="30"/>
      <c r="L100" s="15"/>
      <c r="M100" s="229">
        <f ca="1">IFERROR(OFFSET(M100,-1,,1,1)+0.1,OFFSET(M100,-1,-1,1,1)&amp;".1")</f>
        <v>1.2000000000000002</v>
      </c>
      <c r="N100" s="16" t="s">
        <v>183</v>
      </c>
      <c r="O100" s="16"/>
      <c r="P100" s="16"/>
      <c r="Q100" s="100">
        <v>1</v>
      </c>
      <c r="R100" s="95"/>
      <c r="S100" s="230">
        <f>CEILING((IF(J100="Yes", 0, IF(H100="-",AA100,AA100+AA100*VLOOKUP(H100,BUFFERS_BY_TYPE,2,FALSE)))) +
   (IF(J100="Yes", 0, IF(H100="-",AA100,AA100+AA100*VLOOKUP(H100,BUFFERS_BY_TYPE,2,FALSE))))*VLOOKUP($S$5, SALES_CALL_SCALE_ARRAY, 2,FALSE),0.25)</f>
        <v>2</v>
      </c>
      <c r="T100" s="116"/>
      <c r="U100" s="17">
        <v>0</v>
      </c>
      <c r="V100" s="17">
        <v>1</v>
      </c>
      <c r="W100" s="17">
        <v>0</v>
      </c>
      <c r="X100" s="115">
        <v>2</v>
      </c>
      <c r="Y100" s="230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2</v>
      </c>
      <c r="Z100" s="18"/>
      <c r="AA100" s="230">
        <f>Y100+Y100*VLOOKUP(I100,EXTRAS_ARRAY,2,FALSE)</f>
        <v>2</v>
      </c>
      <c r="AB100" s="16" t="s">
        <v>184</v>
      </c>
      <c r="AC100" s="29"/>
      <c r="AD100" s="226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ht="43.5" customHeight="1" outlineLevel="2" x14ac:dyDescent="0.2">
      <c r="A101" s="212" t="s">
        <v>49</v>
      </c>
      <c r="B101" s="14"/>
      <c r="C101" s="62"/>
      <c r="D101" s="62"/>
      <c r="E101" s="62"/>
      <c r="F101" s="63"/>
      <c r="G101" s="15" t="s">
        <v>57</v>
      </c>
      <c r="H101" s="15" t="s">
        <v>57</v>
      </c>
      <c r="I101" s="16" t="s">
        <v>57</v>
      </c>
      <c r="J101" s="15" t="s">
        <v>57</v>
      </c>
      <c r="K101" s="30"/>
      <c r="L101" s="15"/>
      <c r="M101" s="229">
        <f ca="1">IFERROR(OFFSET(M101,-1,,1,1)+0.1,OFFSET(M101,-1,-1,1,1)&amp;".1")</f>
        <v>1.3000000000000003</v>
      </c>
      <c r="N101" s="16" t="s">
        <v>185</v>
      </c>
      <c r="O101" s="16"/>
      <c r="P101" s="16"/>
      <c r="Q101" s="100">
        <v>1</v>
      </c>
      <c r="R101" s="95"/>
      <c r="S101" s="230">
        <f>CEILING((IF(J101="Yes", 0, IF(H101="-",AA101,AA101+AA101*VLOOKUP(H101,BUFFERS_BY_TYPE,2,FALSE)))) +
   (IF(J101="Yes", 0, IF(H101="-",AA101,AA101+AA101*VLOOKUP(H101,BUFFERS_BY_TYPE,2,FALSE))))*VLOOKUP($S$5, SALES_CALL_SCALE_ARRAY, 2,FALSE),0.25)</f>
        <v>2</v>
      </c>
      <c r="T101" s="116"/>
      <c r="U101" s="17">
        <v>0</v>
      </c>
      <c r="V101" s="17">
        <v>1</v>
      </c>
      <c r="W101" s="17">
        <v>0</v>
      </c>
      <c r="X101" s="115">
        <v>2</v>
      </c>
      <c r="Y101" s="230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2</v>
      </c>
      <c r="Z101" s="18"/>
      <c r="AA101" s="230">
        <f>Y101+Y101*VLOOKUP(I101,EXTRAS_ARRAY,2,FALSE)</f>
        <v>2</v>
      </c>
      <c r="AB101" s="16" t="s">
        <v>186</v>
      </c>
      <c r="AC101" s="29"/>
      <c r="AD101" s="2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ht="43.5" customHeight="1" outlineLevel="2" x14ac:dyDescent="0.2">
      <c r="A102" s="212" t="s">
        <v>49</v>
      </c>
      <c r="B102" s="14"/>
      <c r="C102" s="62"/>
      <c r="D102" s="62"/>
      <c r="E102" s="62"/>
      <c r="F102" s="63"/>
      <c r="G102" s="15" t="s">
        <v>57</v>
      </c>
      <c r="H102" s="15" t="s">
        <v>57</v>
      </c>
      <c r="I102" s="16" t="s">
        <v>57</v>
      </c>
      <c r="J102" s="15" t="s">
        <v>57</v>
      </c>
      <c r="K102" s="30"/>
      <c r="L102" s="15"/>
      <c r="M102" s="229">
        <f ca="1">IFERROR(OFFSET(M102,-1,,1,1)+0.1,OFFSET(M102,-1,-1,1,1)&amp;".1")</f>
        <v>1.4000000000000004</v>
      </c>
      <c r="N102" s="16" t="s">
        <v>187</v>
      </c>
      <c r="O102" s="16"/>
      <c r="P102" s="16"/>
      <c r="Q102" s="100">
        <v>1</v>
      </c>
      <c r="R102" s="95"/>
      <c r="S102" s="230">
        <f>CEILING((IF(J102="Yes", 0, IF(H102="-",AA102,AA102+AA102*VLOOKUP(H102,BUFFERS_BY_TYPE,2,FALSE)))) +
   (IF(J102="Yes", 0, IF(H102="-",AA102,AA102+AA102*VLOOKUP(H102,BUFFERS_BY_TYPE,2,FALSE))))*VLOOKUP($S$5, SALES_CALL_SCALE_ARRAY, 2,FALSE),0.25)</f>
        <v>2</v>
      </c>
      <c r="T102" s="116"/>
      <c r="U102" s="17">
        <v>0</v>
      </c>
      <c r="V102" s="17">
        <v>1</v>
      </c>
      <c r="W102" s="17">
        <v>0</v>
      </c>
      <c r="X102" s="115">
        <v>2</v>
      </c>
      <c r="Y102" s="230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2</v>
      </c>
      <c r="Z102" s="18"/>
      <c r="AA102" s="230">
        <f>Y102+Y102*VLOOKUP(I102,EXTRAS_ARRAY,2,FALSE)</f>
        <v>2</v>
      </c>
      <c r="AB102" s="16" t="s">
        <v>188</v>
      </c>
      <c r="AC102" s="29"/>
      <c r="AD102" s="2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spans="1:30" s="6" customFormat="1" ht="7.5" customHeight="1" outlineLevel="2" x14ac:dyDescent="0.2">
      <c r="A103" s="212" t="s">
        <v>68</v>
      </c>
      <c r="B103" s="12"/>
      <c r="C103" s="56"/>
      <c r="D103" s="56"/>
      <c r="E103" s="56"/>
      <c r="F103" s="56"/>
      <c r="M103" s="180"/>
      <c r="T103" s="12"/>
      <c r="X103" s="12"/>
      <c r="AB103" s="7"/>
      <c r="AC103" s="7"/>
      <c r="AD103" s="7"/>
    </row>
    <row r="104" spans="1:30" s="11" customFormat="1" ht="15.5" customHeight="1" outlineLevel="1" x14ac:dyDescent="0.2">
      <c r="A104" s="212" t="s">
        <v>52</v>
      </c>
      <c r="B104" s="14"/>
      <c r="C104" s="61"/>
      <c r="D104" s="61"/>
      <c r="E104" s="61"/>
      <c r="F104" s="60"/>
      <c r="G104" s="24"/>
      <c r="H104" s="24"/>
      <c r="I104" s="24"/>
      <c r="J104" s="24"/>
      <c r="K104" s="24"/>
      <c r="L104" s="223">
        <f ca="1">LOOKUP(1000,INDIRECT("L1:"&amp;CELL("address",INDIRECT("R[-1]C",FALSE))))+1</f>
        <v>2</v>
      </c>
      <c r="M104" s="299" t="s">
        <v>189</v>
      </c>
      <c r="N104" s="294"/>
      <c r="O104" s="4"/>
      <c r="P104" s="25"/>
      <c r="Q104" s="25"/>
      <c r="R104" s="25"/>
      <c r="S104" s="25"/>
      <c r="T104" s="225">
        <f>IF($S$6="Exclude", SUMIFS(S105:S111, J105:J111, "&lt;&gt;Yes", G105:G111, "&lt;&gt;Yes"), SUMIFS(S105:S111, J105:J111, "&lt;&gt;Yes"))</f>
        <v>17</v>
      </c>
      <c r="U104" s="25"/>
      <c r="V104" s="25"/>
      <c r="W104" s="25"/>
      <c r="X104" s="26"/>
      <c r="Y104" s="27"/>
      <c r="Z104" s="27"/>
      <c r="AA104" s="27"/>
      <c r="AB104" s="155"/>
      <c r="AC104" s="28"/>
      <c r="AD104" s="226" t="str">
        <f>IF(M104="", "Error: Task name cannot be empty.", "")</f>
        <v/>
      </c>
    </row>
    <row r="105" spans="1:30" s="9" customFormat="1" ht="1.5" customHeight="1" outlineLevel="2" x14ac:dyDescent="0.2">
      <c r="A105" s="212" t="s">
        <v>54</v>
      </c>
      <c r="B105" s="14"/>
      <c r="C105" s="61"/>
      <c r="D105" s="61"/>
      <c r="E105" s="61"/>
      <c r="F105" s="60"/>
      <c r="G105" s="24"/>
      <c r="H105" s="24"/>
      <c r="I105" s="24"/>
      <c r="J105" s="24"/>
      <c r="K105" s="24"/>
      <c r="L105" s="227">
        <f ca="1">L104</f>
        <v>2</v>
      </c>
      <c r="M105" s="228" t="s">
        <v>55</v>
      </c>
      <c r="N105" s="118"/>
      <c r="O105" s="119"/>
      <c r="P105" s="25"/>
      <c r="Q105" s="25"/>
      <c r="R105" s="25"/>
      <c r="S105" s="25"/>
      <c r="T105" s="114"/>
      <c r="U105" s="25"/>
      <c r="V105" s="25"/>
      <c r="W105" s="25"/>
      <c r="X105" s="26"/>
      <c r="Y105" s="27"/>
      <c r="Z105" s="27"/>
      <c r="AA105" s="27"/>
      <c r="AB105" s="28"/>
      <c r="AC105" s="28"/>
      <c r="AD105" s="19"/>
    </row>
    <row r="106" spans="1:30" ht="43.5" customHeight="1" outlineLevel="2" x14ac:dyDescent="0.2">
      <c r="A106" s="212" t="s">
        <v>49</v>
      </c>
      <c r="B106" s="14"/>
      <c r="C106" s="62"/>
      <c r="D106" s="62"/>
      <c r="E106" s="62"/>
      <c r="F106" s="63"/>
      <c r="G106" s="15" t="s">
        <v>57</v>
      </c>
      <c r="H106" s="15" t="s">
        <v>57</v>
      </c>
      <c r="I106" s="16" t="s">
        <v>57</v>
      </c>
      <c r="J106" s="15" t="s">
        <v>57</v>
      </c>
      <c r="K106" s="30"/>
      <c r="L106" s="15"/>
      <c r="M106" s="229" t="str">
        <f ca="1">IFERROR(OFFSET(M106,-1,,1,1)+0.1,OFFSET(M106,-1,-1,1,1)&amp;".1")</f>
        <v>2.1</v>
      </c>
      <c r="N106" s="16" t="s">
        <v>190</v>
      </c>
      <c r="O106" s="16"/>
      <c r="P106" s="16"/>
      <c r="Q106" s="100">
        <v>1</v>
      </c>
      <c r="R106" s="95"/>
      <c r="S106" s="230">
        <f>CEILING((IF(J106="Yes", 0, IF(H106="-",AA106,AA106+AA106*VLOOKUP(H106,BUFFERS_BY_TYPE,2,FALSE)))) +
   (IF(J106="Yes", 0, IF(H106="-",AA106,AA106+AA106*VLOOKUP(H106,BUFFERS_BY_TYPE,2,FALSE))))*VLOOKUP($S$5, SALES_CALL_SCALE_ARRAY, 2,FALSE),0.25)</f>
        <v>3</v>
      </c>
      <c r="T106" s="116"/>
      <c r="U106" s="17">
        <v>0</v>
      </c>
      <c r="V106" s="17">
        <v>1</v>
      </c>
      <c r="W106" s="17">
        <v>0</v>
      </c>
      <c r="X106" s="115">
        <v>3</v>
      </c>
      <c r="Y106" s="230">
        <f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>3</v>
      </c>
      <c r="Z106" s="18"/>
      <c r="AA106" s="230">
        <f>Y106+Y106*VLOOKUP(I106,EXTRAS_ARRAY,2,FALSE)</f>
        <v>3</v>
      </c>
      <c r="AB106" s="16" t="s">
        <v>191</v>
      </c>
      <c r="AC106" s="29"/>
      <c r="AD106" s="226" t="str">
        <f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spans="1:30" ht="43.5" customHeight="1" outlineLevel="2" x14ac:dyDescent="0.2">
      <c r="A107" s="212" t="s">
        <v>49</v>
      </c>
      <c r="B107" s="14"/>
      <c r="C107" s="62"/>
      <c r="D107" s="62"/>
      <c r="E107" s="62"/>
      <c r="F107" s="63"/>
      <c r="G107" s="15" t="s">
        <v>57</v>
      </c>
      <c r="H107" s="15" t="s">
        <v>57</v>
      </c>
      <c r="I107" s="16" t="s">
        <v>57</v>
      </c>
      <c r="J107" s="15" t="s">
        <v>57</v>
      </c>
      <c r="K107" s="30"/>
      <c r="L107" s="15"/>
      <c r="M107" s="229">
        <f ca="1">IFERROR(OFFSET(M107,-1,,1,1)+0.1,OFFSET(M107,-1,-1,1,1)&amp;".1")</f>
        <v>2.2000000000000002</v>
      </c>
      <c r="N107" s="16" t="s">
        <v>192</v>
      </c>
      <c r="O107" s="16"/>
      <c r="P107" s="16"/>
      <c r="Q107" s="100">
        <v>1</v>
      </c>
      <c r="R107" s="95"/>
      <c r="S107" s="230">
        <f>CEILING((IF(J107="Yes", 0, IF(H107="-",AA107,AA107+AA107*VLOOKUP(H107,BUFFERS_BY_TYPE,2,FALSE)))) +
   (IF(J107="Yes", 0, IF(H107="-",AA107,AA107+AA107*VLOOKUP(H107,BUFFERS_BY_TYPE,2,FALSE))))*VLOOKUP($S$5, SALES_CALL_SCALE_ARRAY, 2,FALSE),0.25)</f>
        <v>3</v>
      </c>
      <c r="T107" s="116"/>
      <c r="U107" s="17">
        <v>0</v>
      </c>
      <c r="V107" s="17">
        <v>1</v>
      </c>
      <c r="W107" s="17">
        <v>0</v>
      </c>
      <c r="X107" s="115">
        <v>3</v>
      </c>
      <c r="Y107" s="230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>3</v>
      </c>
      <c r="Z107" s="18"/>
      <c r="AA107" s="230">
        <f>Y107+Y107*VLOOKUP(I107,EXTRAS_ARRAY,2,FALSE)</f>
        <v>3</v>
      </c>
      <c r="AB107" s="16" t="s">
        <v>193</v>
      </c>
      <c r="AC107" s="29"/>
      <c r="AD107" s="226" t="str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spans="1:30" ht="43.5" customHeight="1" outlineLevel="2" x14ac:dyDescent="0.2">
      <c r="A108" s="212" t="s">
        <v>49</v>
      </c>
      <c r="B108" s="14"/>
      <c r="C108" s="62"/>
      <c r="D108" s="62"/>
      <c r="E108" s="62"/>
      <c r="F108" s="63"/>
      <c r="G108" s="15" t="s">
        <v>57</v>
      </c>
      <c r="H108" s="15" t="s">
        <v>57</v>
      </c>
      <c r="I108" s="16" t="s">
        <v>57</v>
      </c>
      <c r="J108" s="15" t="s">
        <v>57</v>
      </c>
      <c r="K108" s="30"/>
      <c r="L108" s="15"/>
      <c r="M108" s="229">
        <f ca="1">IFERROR(OFFSET(M108,-1,,1,1)+0.1,OFFSET(M108,-1,-1,1,1)&amp;".1")</f>
        <v>2.3000000000000003</v>
      </c>
      <c r="N108" s="16" t="s">
        <v>194</v>
      </c>
      <c r="O108" s="16"/>
      <c r="P108" s="16"/>
      <c r="Q108" s="100">
        <v>1</v>
      </c>
      <c r="R108" s="95"/>
      <c r="S108" s="230">
        <f>CEILING((IF(J108="Yes", 0, IF(H108="-",AA108,AA108+AA108*VLOOKUP(H108,BUFFERS_BY_TYPE,2,FALSE)))) +
   (IF(J108="Yes", 0, IF(H108="-",AA108,AA108+AA108*VLOOKUP(H108,BUFFERS_BY_TYPE,2,FALSE))))*VLOOKUP($S$5, SALES_CALL_SCALE_ARRAY, 2,FALSE),0.25)</f>
        <v>3</v>
      </c>
      <c r="T108" s="116"/>
      <c r="U108" s="17">
        <v>0</v>
      </c>
      <c r="V108" s="17">
        <v>1</v>
      </c>
      <c r="W108" s="17">
        <v>0</v>
      </c>
      <c r="X108" s="115">
        <v>3</v>
      </c>
      <c r="Y108" s="230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>3</v>
      </c>
      <c r="Z108" s="18"/>
      <c r="AA108" s="230">
        <f>Y108+Y108*VLOOKUP(I108,EXTRAS_ARRAY,2,FALSE)</f>
        <v>3</v>
      </c>
      <c r="AB108" s="16" t="s">
        <v>195</v>
      </c>
      <c r="AC108" s="29"/>
      <c r="AD108" s="226" t="str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/>
      </c>
    </row>
    <row r="109" spans="1:30" ht="43.5" customHeight="1" outlineLevel="2" x14ac:dyDescent="0.2">
      <c r="A109" s="212" t="s">
        <v>49</v>
      </c>
      <c r="B109" s="14"/>
      <c r="C109" s="62"/>
      <c r="D109" s="62"/>
      <c r="E109" s="62"/>
      <c r="F109" s="63"/>
      <c r="G109" s="15" t="s">
        <v>57</v>
      </c>
      <c r="H109" s="15" t="s">
        <v>57</v>
      </c>
      <c r="I109" s="16" t="s">
        <v>57</v>
      </c>
      <c r="J109" s="15" t="s">
        <v>57</v>
      </c>
      <c r="K109" s="30"/>
      <c r="L109" s="15"/>
      <c r="M109" s="229">
        <f ca="1">IFERROR(OFFSET(M109,-1,,1,1)+0.1,OFFSET(M109,-1,-1,1,1)&amp;".1")</f>
        <v>2.4000000000000004</v>
      </c>
      <c r="N109" s="16" t="s">
        <v>196</v>
      </c>
      <c r="O109" s="16"/>
      <c r="P109" s="16"/>
      <c r="Q109" s="100">
        <v>1</v>
      </c>
      <c r="R109" s="95"/>
      <c r="S109" s="230">
        <f>CEILING((IF(J109="Yes", 0, IF(H109="-",AA109,AA109+AA109*VLOOKUP(H109,BUFFERS_BY_TYPE,2,FALSE)))) +
   (IF(J109="Yes", 0, IF(H109="-",AA109,AA109+AA109*VLOOKUP(H109,BUFFERS_BY_TYPE,2,FALSE))))*VLOOKUP($S$5, SALES_CALL_SCALE_ARRAY, 2,FALSE),0.25)</f>
        <v>3</v>
      </c>
      <c r="T109" s="116"/>
      <c r="U109" s="17">
        <v>0</v>
      </c>
      <c r="V109" s="17">
        <v>1</v>
      </c>
      <c r="W109" s="17">
        <v>0</v>
      </c>
      <c r="X109" s="115">
        <v>3</v>
      </c>
      <c r="Y109" s="230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>3</v>
      </c>
      <c r="Z109" s="18"/>
      <c r="AA109" s="230">
        <f>Y109+Y109*VLOOKUP(I109,EXTRAS_ARRAY,2,FALSE)</f>
        <v>3</v>
      </c>
      <c r="AB109" s="16" t="s">
        <v>197</v>
      </c>
      <c r="AC109" s="29"/>
      <c r="AD109" s="226" t="str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/>
      </c>
    </row>
    <row r="110" spans="1:30" ht="43.5" customHeight="1" outlineLevel="2" x14ac:dyDescent="0.2">
      <c r="A110" s="212" t="s">
        <v>49</v>
      </c>
      <c r="B110" s="14"/>
      <c r="C110" s="62"/>
      <c r="D110" s="62"/>
      <c r="E110" s="62"/>
      <c r="F110" s="63"/>
      <c r="G110" s="15" t="s">
        <v>57</v>
      </c>
      <c r="H110" s="15" t="s">
        <v>57</v>
      </c>
      <c r="I110" s="16" t="s">
        <v>57</v>
      </c>
      <c r="J110" s="15" t="s">
        <v>57</v>
      </c>
      <c r="K110" s="30"/>
      <c r="L110" s="15"/>
      <c r="M110" s="229">
        <f ca="1">IFERROR(OFFSET(M110,-1,,1,1)+0.1,OFFSET(M110,-1,-1,1,1)&amp;".1")</f>
        <v>2.5000000000000004</v>
      </c>
      <c r="N110" s="16" t="s">
        <v>198</v>
      </c>
      <c r="O110" s="16"/>
      <c r="P110" s="16"/>
      <c r="Q110" s="100">
        <v>1</v>
      </c>
      <c r="R110" s="95"/>
      <c r="S110" s="230">
        <f>CEILING((IF(J110="Yes", 0, IF(H110="-",AA110,AA110+AA110*VLOOKUP(H110,BUFFERS_BY_TYPE,2,FALSE)))) +
   (IF(J110="Yes", 0, IF(H110="-",AA110,AA110+AA110*VLOOKUP(H110,BUFFERS_BY_TYPE,2,FALSE))))*VLOOKUP($S$5, SALES_CALL_SCALE_ARRAY, 2,FALSE),0.25)</f>
        <v>5</v>
      </c>
      <c r="T110" s="116"/>
      <c r="U110" s="17">
        <v>0</v>
      </c>
      <c r="V110" s="17">
        <v>1</v>
      </c>
      <c r="W110" s="17">
        <v>0</v>
      </c>
      <c r="X110" s="115">
        <v>5</v>
      </c>
      <c r="Y110" s="230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5</v>
      </c>
      <c r="Z110" s="18"/>
      <c r="AA110" s="230">
        <f>Y110+Y110*VLOOKUP(I110,EXTRAS_ARRAY,2,FALSE)</f>
        <v>5</v>
      </c>
      <c r="AB110" s="16" t="s">
        <v>199</v>
      </c>
      <c r="AC110" s="29"/>
      <c r="AD110" s="2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spans="1:30" s="6" customFormat="1" ht="7.5" customHeight="1" outlineLevel="2" x14ac:dyDescent="0.2">
      <c r="A111" s="212" t="s">
        <v>68</v>
      </c>
      <c r="B111" s="12"/>
      <c r="C111" s="56"/>
      <c r="D111" s="56"/>
      <c r="E111" s="56"/>
      <c r="F111" s="56"/>
      <c r="M111" s="180"/>
      <c r="T111" s="12"/>
      <c r="X111" s="12"/>
      <c r="AB111" s="7"/>
      <c r="AC111" s="7"/>
      <c r="AD111" s="7"/>
    </row>
    <row r="112" spans="1:30" s="11" customFormat="1" ht="15.5" customHeight="1" outlineLevel="1" x14ac:dyDescent="0.2">
      <c r="A112" s="212" t="s">
        <v>200</v>
      </c>
      <c r="B112" s="14"/>
      <c r="C112" s="61"/>
      <c r="D112" s="61"/>
      <c r="E112" s="61"/>
      <c r="F112" s="60"/>
      <c r="G112" s="125"/>
      <c r="H112" s="125"/>
      <c r="I112" s="125"/>
      <c r="J112" s="125"/>
      <c r="K112" s="125"/>
      <c r="L112" s="69" t="s">
        <v>20</v>
      </c>
      <c r="M112" s="308" t="s">
        <v>201</v>
      </c>
      <c r="N112" s="294"/>
      <c r="O112" s="64"/>
      <c r="P112" s="65"/>
      <c r="Q112" s="65"/>
      <c r="R112" s="65"/>
      <c r="S112" s="300">
        <f>SUMGROUP(ROW(), "T")</f>
        <v>74</v>
      </c>
      <c r="T112" s="294"/>
      <c r="U112" s="306"/>
      <c r="V112" s="294"/>
      <c r="W112" s="294"/>
      <c r="X112" s="66"/>
      <c r="Y112" s="67"/>
      <c r="Z112" s="67"/>
      <c r="AA112" s="67"/>
      <c r="AB112" s="156"/>
      <c r="AC112" s="68"/>
      <c r="AD112" s="226" t="str">
        <f>IF(M112="", "Error: Module name cannot be empty.", "")</f>
        <v/>
      </c>
    </row>
    <row r="113" spans="1:30" s="11" customFormat="1" ht="15.5" customHeight="1" outlineLevel="1" x14ac:dyDescent="0.2">
      <c r="A113" s="212" t="s">
        <v>52</v>
      </c>
      <c r="B113" s="14"/>
      <c r="C113" s="61"/>
      <c r="D113" s="61"/>
      <c r="E113" s="61"/>
      <c r="F113" s="60"/>
      <c r="G113" s="24"/>
      <c r="H113" s="24"/>
      <c r="I113" s="24"/>
      <c r="J113" s="24"/>
      <c r="K113" s="24"/>
      <c r="L113" s="223">
        <f ca="1">LOOKUP(1000,INDIRECT("L1:"&amp;CELL("address",INDIRECT("R[-1]C",FALSE))))+1</f>
        <v>3</v>
      </c>
      <c r="M113" s="299" t="s">
        <v>202</v>
      </c>
      <c r="N113" s="294"/>
      <c r="O113" s="4"/>
      <c r="P113" s="25"/>
      <c r="Q113" s="25"/>
      <c r="R113" s="25"/>
      <c r="S113" s="25"/>
      <c r="T113" s="225">
        <f>IF($S$6="Exclude", SUMIFS(S114:S117, J114:J117, "&lt;&gt;Yes", G114:G117, "&lt;&gt;Yes"), SUMIFS(S114:S117, J114:J117, "&lt;&gt;Yes"))</f>
        <v>74</v>
      </c>
      <c r="U113" s="25"/>
      <c r="V113" s="25"/>
      <c r="W113" s="25"/>
      <c r="X113" s="26"/>
      <c r="Y113" s="27"/>
      <c r="Z113" s="27"/>
      <c r="AA113" s="27"/>
      <c r="AB113" s="155"/>
      <c r="AC113" s="28"/>
      <c r="AD113" s="226" t="str">
        <f>IF(M113="", "Error: Task name cannot be empty.", "")</f>
        <v/>
      </c>
    </row>
    <row r="114" spans="1:30" s="9" customFormat="1" ht="1.5" customHeight="1" outlineLevel="2" x14ac:dyDescent="0.2">
      <c r="A114" s="212" t="s">
        <v>54</v>
      </c>
      <c r="B114" s="14"/>
      <c r="C114" s="61"/>
      <c r="D114" s="61"/>
      <c r="E114" s="61"/>
      <c r="F114" s="60"/>
      <c r="G114" s="24"/>
      <c r="H114" s="24"/>
      <c r="I114" s="24"/>
      <c r="J114" s="24"/>
      <c r="K114" s="24"/>
      <c r="L114" s="227">
        <f ca="1">L113</f>
        <v>3</v>
      </c>
      <c r="M114" s="228" t="s">
        <v>55</v>
      </c>
      <c r="N114" s="118"/>
      <c r="O114" s="119"/>
      <c r="P114" s="25"/>
      <c r="Q114" s="25"/>
      <c r="R114" s="25"/>
      <c r="S114" s="25"/>
      <c r="T114" s="114"/>
      <c r="U114" s="25"/>
      <c r="V114" s="25"/>
      <c r="W114" s="25"/>
      <c r="X114" s="26"/>
      <c r="Y114" s="27"/>
      <c r="Z114" s="27"/>
      <c r="AA114" s="27"/>
      <c r="AB114" s="28"/>
      <c r="AC114" s="28"/>
      <c r="AD114" s="19"/>
    </row>
    <row r="115" spans="1:30" ht="43.5" customHeight="1" outlineLevel="2" x14ac:dyDescent="0.2">
      <c r="A115" s="212" t="s">
        <v>49</v>
      </c>
      <c r="B115" s="14"/>
      <c r="C115" s="62"/>
      <c r="D115" s="62"/>
      <c r="E115" s="62"/>
      <c r="F115" s="63"/>
      <c r="G115" s="15" t="s">
        <v>57</v>
      </c>
      <c r="H115" s="15" t="s">
        <v>57</v>
      </c>
      <c r="I115" s="16" t="s">
        <v>57</v>
      </c>
      <c r="J115" s="15" t="s">
        <v>57</v>
      </c>
      <c r="K115" s="30"/>
      <c r="L115" s="15"/>
      <c r="M115" s="229" t="str">
        <f ca="1">IFERROR(OFFSET(M115,-1,,1,1)+0.1,OFFSET(M115,-1,-1,1,1)&amp;".1")</f>
        <v>3.1</v>
      </c>
      <c r="N115" s="16" t="s">
        <v>203</v>
      </c>
      <c r="O115" s="16"/>
      <c r="P115" s="16"/>
      <c r="Q115" s="100">
        <v>11</v>
      </c>
      <c r="R115" s="95"/>
      <c r="S115" s="230">
        <f>CEILING((IF(J115="Yes", 0, IF(H115="-",AA115,AA115+AA115*VLOOKUP(H115,BUFFERS_BY_TYPE,2,FALSE)))) +
   (IF(J115="Yes", 0, IF(H115="-",AA115,AA115+AA115*VLOOKUP(H115,BUFFERS_BY_TYPE,2,FALSE))))*VLOOKUP($S$5, SALES_CALL_SCALE_ARRAY, 2,FALSE),0.25)</f>
        <v>44</v>
      </c>
      <c r="T115" s="116"/>
      <c r="U115" s="17">
        <v>0</v>
      </c>
      <c r="V115" s="17">
        <v>1</v>
      </c>
      <c r="W115" s="17">
        <v>0</v>
      </c>
      <c r="X115" s="115">
        <v>4</v>
      </c>
      <c r="Y115" s="230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44</v>
      </c>
      <c r="Z115" s="18"/>
      <c r="AA115" s="230">
        <f>Y115+Y115*VLOOKUP(I115,EXTRAS_ARRAY,2,FALSE)</f>
        <v>44</v>
      </c>
      <c r="AB115" s="16" t="s">
        <v>204</v>
      </c>
      <c r="AC115" s="29"/>
      <c r="AD115" s="226" t="str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43.5" customHeight="1" outlineLevel="2" x14ac:dyDescent="0.2">
      <c r="A116" s="212" t="s">
        <v>49</v>
      </c>
      <c r="B116" s="14"/>
      <c r="C116" s="62"/>
      <c r="D116" s="62"/>
      <c r="E116" s="62"/>
      <c r="F116" s="63"/>
      <c r="G116" s="15" t="s">
        <v>57</v>
      </c>
      <c r="H116" s="15" t="s">
        <v>57</v>
      </c>
      <c r="I116" s="16" t="s">
        <v>57</v>
      </c>
      <c r="J116" s="15" t="s">
        <v>57</v>
      </c>
      <c r="K116" s="30"/>
      <c r="L116" s="15"/>
      <c r="M116" s="229">
        <f ca="1">IFERROR(OFFSET(M116,-1,,1,1)+0.1,OFFSET(M116,-1,-1,1,1)&amp;".1")</f>
        <v>3.2</v>
      </c>
      <c r="N116" s="16" t="s">
        <v>205</v>
      </c>
      <c r="O116" s="16"/>
      <c r="P116" s="16"/>
      <c r="Q116" s="100">
        <v>15</v>
      </c>
      <c r="R116" s="95"/>
      <c r="S116" s="230">
        <f>CEILING((IF(J116="Yes", 0, IF(H116="-",AA116,AA116+AA116*VLOOKUP(H116,BUFFERS_BY_TYPE,2,FALSE)))) +
   (IF(J116="Yes", 0, IF(H116="-",AA116,AA116+AA116*VLOOKUP(H116,BUFFERS_BY_TYPE,2,FALSE))))*VLOOKUP($S$5, SALES_CALL_SCALE_ARRAY, 2,FALSE),0.25)</f>
        <v>30</v>
      </c>
      <c r="T116" s="116"/>
      <c r="U116" s="17">
        <v>0</v>
      </c>
      <c r="V116" s="17">
        <v>1</v>
      </c>
      <c r="W116" s="17">
        <v>0</v>
      </c>
      <c r="X116" s="115">
        <v>2</v>
      </c>
      <c r="Y116" s="230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30</v>
      </c>
      <c r="Z116" s="18"/>
      <c r="AA116" s="230">
        <f>Y116+Y116*VLOOKUP(I116,EXTRAS_ARRAY,2,FALSE)</f>
        <v>30</v>
      </c>
      <c r="AB116" s="16" t="s">
        <v>206</v>
      </c>
      <c r="AC116" s="29"/>
      <c r="AD116" s="226" t="str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spans="1:30" s="6" customFormat="1" ht="7.5" customHeight="1" outlineLevel="2" x14ac:dyDescent="0.2">
      <c r="A117" s="212" t="s">
        <v>68</v>
      </c>
      <c r="B117" s="12"/>
      <c r="C117" s="56"/>
      <c r="D117" s="56"/>
      <c r="E117" s="56"/>
      <c r="F117" s="56"/>
      <c r="M117" s="180"/>
      <c r="T117" s="12"/>
      <c r="X117" s="12"/>
      <c r="AB117" s="7"/>
      <c r="AC117" s="7"/>
      <c r="AD117" s="7"/>
    </row>
    <row r="118" spans="1:30" s="11" customFormat="1" ht="15.5" customHeight="1" outlineLevel="1" x14ac:dyDescent="0.2">
      <c r="A118" s="212" t="s">
        <v>200</v>
      </c>
      <c r="B118" s="14"/>
      <c r="C118" s="61"/>
      <c r="D118" s="61"/>
      <c r="E118" s="61"/>
      <c r="F118" s="60"/>
      <c r="G118" s="125"/>
      <c r="H118" s="125"/>
      <c r="I118" s="125"/>
      <c r="J118" s="125"/>
      <c r="K118" s="125"/>
      <c r="L118" s="69" t="s">
        <v>20</v>
      </c>
      <c r="M118" s="308" t="s">
        <v>207</v>
      </c>
      <c r="N118" s="294"/>
      <c r="O118" s="64"/>
      <c r="P118" s="65"/>
      <c r="Q118" s="65"/>
      <c r="R118" s="65"/>
      <c r="S118" s="300">
        <f>SUMGROUP(ROW(), "T")</f>
        <v>0</v>
      </c>
      <c r="T118" s="294"/>
      <c r="U118" s="306"/>
      <c r="V118" s="294"/>
      <c r="W118" s="294"/>
      <c r="X118" s="66"/>
      <c r="Y118" s="67"/>
      <c r="Z118" s="67"/>
      <c r="AA118" s="67"/>
      <c r="AB118" s="156"/>
      <c r="AC118" s="68"/>
      <c r="AD118" s="226" t="str">
        <f>IF(M118="", "Error: Module name cannot be empty.", "")</f>
        <v/>
      </c>
    </row>
    <row r="119" spans="1:30" s="11" customFormat="1" ht="15.5" customHeight="1" outlineLevel="1" collapsed="1" x14ac:dyDescent="0.2">
      <c r="A119" s="212" t="s">
        <v>52</v>
      </c>
      <c r="B119" s="14"/>
      <c r="C119" s="61"/>
      <c r="D119" s="61"/>
      <c r="E119" s="61"/>
      <c r="F119" s="60"/>
      <c r="G119" s="24"/>
      <c r="H119" s="24"/>
      <c r="I119" s="24"/>
      <c r="J119" s="24"/>
      <c r="K119" s="24"/>
      <c r="L119" s="223">
        <f ca="1">LOOKUP(1000,INDIRECT("L1:"&amp;CELL("address",INDIRECT("R[-1]C",FALSE))))+1</f>
        <v>4</v>
      </c>
      <c r="M119" s="299" t="s">
        <v>208</v>
      </c>
      <c r="N119" s="294"/>
      <c r="O119" s="4"/>
      <c r="P119" s="25"/>
      <c r="Q119" s="25"/>
      <c r="R119" s="25"/>
      <c r="S119" s="25"/>
      <c r="T119" s="225">
        <f>IF($S$6="Exclude", SUMIFS(S120:S123, J120:J123, "&lt;&gt;Yes", G120:G123, "&lt;&gt;Yes"), SUMIFS(S120:S123, J120:J123, "&lt;&gt;Yes"))</f>
        <v>0</v>
      </c>
      <c r="U119" s="25"/>
      <c r="V119" s="25"/>
      <c r="W119" s="25"/>
      <c r="X119" s="26"/>
      <c r="Y119" s="27"/>
      <c r="Z119" s="27"/>
      <c r="AA119" s="27"/>
      <c r="AB119" s="155"/>
      <c r="AC119" s="28"/>
      <c r="AD119" s="226" t="str">
        <f>IF(M119="", "Error: Task name cannot be empty.", "")</f>
        <v/>
      </c>
    </row>
    <row r="120" spans="1:30" s="9" customFormat="1" ht="1.5" hidden="1" customHeight="1" outlineLevel="2" x14ac:dyDescent="0.2">
      <c r="A120" s="212" t="s">
        <v>54</v>
      </c>
      <c r="B120" s="14"/>
      <c r="C120" s="61"/>
      <c r="D120" s="61"/>
      <c r="E120" s="61"/>
      <c r="F120" s="60"/>
      <c r="G120" s="24"/>
      <c r="H120" s="24"/>
      <c r="I120" s="24"/>
      <c r="J120" s="24"/>
      <c r="K120" s="24"/>
      <c r="L120" s="227">
        <f ca="1">L119</f>
        <v>4</v>
      </c>
      <c r="M120" s="228" t="s">
        <v>55</v>
      </c>
      <c r="N120" s="118"/>
      <c r="O120" s="119"/>
      <c r="P120" s="25"/>
      <c r="Q120" s="25"/>
      <c r="R120" s="25"/>
      <c r="S120" s="25"/>
      <c r="T120" s="114"/>
      <c r="U120" s="25"/>
      <c r="V120" s="25"/>
      <c r="W120" s="25"/>
      <c r="X120" s="26"/>
      <c r="Y120" s="27"/>
      <c r="Z120" s="27"/>
      <c r="AA120" s="27"/>
      <c r="AB120" s="28"/>
      <c r="AC120" s="28"/>
      <c r="AD120" s="19"/>
    </row>
    <row r="121" spans="1:30" ht="43.5" hidden="1" customHeight="1" outlineLevel="2" x14ac:dyDescent="0.2">
      <c r="A121" s="212" t="s">
        <v>49</v>
      </c>
      <c r="B121" s="14"/>
      <c r="C121" s="62"/>
      <c r="D121" s="62"/>
      <c r="E121" s="62"/>
      <c r="F121" s="63"/>
      <c r="G121" s="15" t="s">
        <v>57</v>
      </c>
      <c r="H121" s="15" t="s">
        <v>57</v>
      </c>
      <c r="I121" s="16" t="s">
        <v>57</v>
      </c>
      <c r="J121" s="15" t="s">
        <v>56</v>
      </c>
      <c r="K121" s="30"/>
      <c r="L121" s="15"/>
      <c r="M121" s="229" t="str">
        <f ca="1">IFERROR(OFFSET(M121,-1,,1,1)+0.1,OFFSET(M121,-1,-1,1,1)&amp;".1")</f>
        <v>4.1</v>
      </c>
      <c r="N121" s="16" t="s">
        <v>209</v>
      </c>
      <c r="O121" s="16"/>
      <c r="P121" s="16"/>
      <c r="Q121" s="100"/>
      <c r="R121" s="95"/>
      <c r="S121" s="230">
        <f>CEILING((IF(J121="Yes", 0, IF(H121="-",AA121,AA121+AA121*VLOOKUP(H121,BUFFERS_BY_TYPE,2,FALSE)))) +
   (IF(J121="Yes", 0, IF(H121="-",AA121,AA121+AA121*VLOOKUP(H121,BUFFERS_BY_TYPE,2,FALSE))))*VLOOKUP($S$5, SALES_CALL_SCALE_ARRAY, 2,FALSE),0.25)</f>
        <v>0</v>
      </c>
      <c r="T121" s="116"/>
      <c r="U121" s="17">
        <v>0</v>
      </c>
      <c r="V121" s="17">
        <v>1</v>
      </c>
      <c r="W121" s="17">
        <v>0</v>
      </c>
      <c r="X121" s="115"/>
      <c r="Y121" s="230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>0</v>
      </c>
      <c r="Z121" s="18"/>
      <c r="AA121" s="230">
        <f>Y121+Y121*VLOOKUP(I121,EXTRAS_ARRAY,2,FALSE)</f>
        <v>0</v>
      </c>
      <c r="AB121" s="16" t="s">
        <v>210</v>
      </c>
      <c r="AC121" s="29"/>
      <c r="AD121" s="226" t="b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>0</v>
      </c>
    </row>
    <row r="122" spans="1:30" ht="58" hidden="1" customHeight="1" outlineLevel="2" x14ac:dyDescent="0.2">
      <c r="A122" s="212" t="s">
        <v>49</v>
      </c>
      <c r="B122" s="14"/>
      <c r="C122" s="62"/>
      <c r="D122" s="62"/>
      <c r="E122" s="62"/>
      <c r="F122" s="63"/>
      <c r="G122" s="15" t="s">
        <v>57</v>
      </c>
      <c r="H122" s="15" t="s">
        <v>57</v>
      </c>
      <c r="I122" s="16" t="s">
        <v>57</v>
      </c>
      <c r="J122" s="15" t="s">
        <v>56</v>
      </c>
      <c r="K122" s="30"/>
      <c r="L122" s="15"/>
      <c r="M122" s="229">
        <f ca="1">IFERROR(OFFSET(M122,-1,,1,1)+0.1,OFFSET(M122,-1,-1,1,1)&amp;".1")</f>
        <v>4.1999999999999993</v>
      </c>
      <c r="N122" s="16" t="s">
        <v>211</v>
      </c>
      <c r="O122" s="16"/>
      <c r="P122" s="16"/>
      <c r="Q122" s="100"/>
      <c r="R122" s="95"/>
      <c r="S122" s="230">
        <f>CEILING((IF(J122="Yes", 0, IF(H122="-",AA122,AA122+AA122*VLOOKUP(H122,BUFFERS_BY_TYPE,2,FALSE)))) +
   (IF(J122="Yes", 0, IF(H122="-",AA122,AA122+AA122*VLOOKUP(H122,BUFFERS_BY_TYPE,2,FALSE))))*VLOOKUP($S$5, SALES_CALL_SCALE_ARRAY, 2,FALSE),0.25)</f>
        <v>0</v>
      </c>
      <c r="T122" s="116"/>
      <c r="U122" s="17">
        <v>0</v>
      </c>
      <c r="V122" s="17">
        <v>1</v>
      </c>
      <c r="W122" s="17">
        <v>0</v>
      </c>
      <c r="X122" s="115"/>
      <c r="Y122" s="230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0</v>
      </c>
      <c r="Z122" s="18"/>
      <c r="AA122" s="230">
        <f>Y122+Y122*VLOOKUP(I122,EXTRAS_ARRAY,2,FALSE)</f>
        <v>0</v>
      </c>
      <c r="AB122" s="16" t="s">
        <v>212</v>
      </c>
      <c r="AC122" s="29"/>
      <c r="AD122" s="226" t="b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>0</v>
      </c>
    </row>
    <row r="123" spans="1:30" s="6" customFormat="1" ht="7.5" hidden="1" customHeight="1" outlineLevel="2" x14ac:dyDescent="0.2">
      <c r="A123" s="212" t="s">
        <v>68</v>
      </c>
      <c r="B123" s="12"/>
      <c r="C123" s="56"/>
      <c r="D123" s="56"/>
      <c r="E123" s="56"/>
      <c r="F123" s="56"/>
      <c r="M123" s="180"/>
      <c r="T123" s="12"/>
      <c r="X123" s="12"/>
      <c r="AB123" s="7"/>
      <c r="AC123" s="7"/>
      <c r="AD123" s="7"/>
    </row>
    <row r="124" spans="1:30" s="11" customFormat="1" ht="15.5" customHeight="1" outlineLevel="1" x14ac:dyDescent="0.2">
      <c r="A124" s="212" t="s">
        <v>52</v>
      </c>
      <c r="B124" s="14"/>
      <c r="C124" s="61"/>
      <c r="D124" s="61"/>
      <c r="E124" s="61"/>
      <c r="F124" s="60"/>
      <c r="G124" s="24"/>
      <c r="H124" s="24"/>
      <c r="I124" s="24"/>
      <c r="J124" s="24"/>
      <c r="K124" s="24"/>
      <c r="L124" s="223">
        <f ca="1">LOOKUP(1000,INDIRECT("L1:"&amp;CELL("address",INDIRECT("R[-1]C",FALSE))))+1</f>
        <v>5</v>
      </c>
      <c r="M124" s="299" t="s">
        <v>213</v>
      </c>
      <c r="N124" s="294"/>
      <c r="O124" s="4"/>
      <c r="P124" s="25"/>
      <c r="Q124" s="25"/>
      <c r="R124" s="25"/>
      <c r="S124" s="25"/>
      <c r="T124" s="225">
        <f>IF($S$6="Exclude", SUMIFS(S125:S127, J125:J127, "&lt;&gt;Yes", G125:G127, "&lt;&gt;Yes"), SUMIFS(S125:S127, J125:J127, "&lt;&gt;Yes"))</f>
        <v>0</v>
      </c>
      <c r="U124" s="25"/>
      <c r="V124" s="25"/>
      <c r="W124" s="25"/>
      <c r="X124" s="26"/>
      <c r="Y124" s="27"/>
      <c r="Z124" s="27"/>
      <c r="AA124" s="27"/>
      <c r="AB124" s="155"/>
      <c r="AC124" s="28"/>
      <c r="AD124" s="226" t="str">
        <f>IF(M124="", "Error: Task name cannot be empty.", "")</f>
        <v/>
      </c>
    </row>
    <row r="125" spans="1:30" s="9" customFormat="1" ht="1.5" customHeight="1" outlineLevel="2" x14ac:dyDescent="0.2">
      <c r="A125" s="212" t="s">
        <v>54</v>
      </c>
      <c r="B125" s="14"/>
      <c r="C125" s="61"/>
      <c r="D125" s="61"/>
      <c r="E125" s="61"/>
      <c r="F125" s="60"/>
      <c r="G125" s="24"/>
      <c r="H125" s="24"/>
      <c r="I125" s="24"/>
      <c r="J125" s="24"/>
      <c r="K125" s="24"/>
      <c r="L125" s="227">
        <f ca="1">L124</f>
        <v>5</v>
      </c>
      <c r="M125" s="228" t="s">
        <v>55</v>
      </c>
      <c r="N125" s="118"/>
      <c r="O125" s="119"/>
      <c r="P125" s="25"/>
      <c r="Q125" s="25"/>
      <c r="R125" s="25"/>
      <c r="S125" s="25"/>
      <c r="T125" s="114"/>
      <c r="U125" s="25"/>
      <c r="V125" s="25"/>
      <c r="W125" s="25"/>
      <c r="X125" s="26"/>
      <c r="Y125" s="27"/>
      <c r="Z125" s="27"/>
      <c r="AA125" s="27"/>
      <c r="AB125" s="28"/>
      <c r="AC125" s="28"/>
      <c r="AD125" s="19"/>
    </row>
    <row r="126" spans="1:30" ht="43.5" customHeight="1" outlineLevel="2" x14ac:dyDescent="0.2">
      <c r="A126" s="212" t="s">
        <v>49</v>
      </c>
      <c r="B126" s="14"/>
      <c r="C126" s="62"/>
      <c r="D126" s="62"/>
      <c r="E126" s="62"/>
      <c r="F126" s="63"/>
      <c r="G126" s="15" t="s">
        <v>57</v>
      </c>
      <c r="H126" s="15" t="s">
        <v>57</v>
      </c>
      <c r="I126" s="16" t="s">
        <v>57</v>
      </c>
      <c r="J126" s="15" t="s">
        <v>56</v>
      </c>
      <c r="K126" s="30"/>
      <c r="L126" s="15"/>
      <c r="M126" s="229" t="str">
        <f ca="1">IFERROR(OFFSET(M126,-1,,1,1)+0.1,OFFSET(M126,-1,-1,1,1)&amp;".1")</f>
        <v>5.1</v>
      </c>
      <c r="N126" s="16" t="s">
        <v>214</v>
      </c>
      <c r="O126" s="16"/>
      <c r="P126" s="16"/>
      <c r="Q126" s="100"/>
      <c r="R126" s="95"/>
      <c r="S126" s="230">
        <f>CEILING((IF(J126="Yes", 0, IF(H126="-",AA126,AA126+AA126*VLOOKUP(H126,BUFFERS_BY_TYPE,2,FALSE)))) +
   (IF(J126="Yes", 0, IF(H126="-",AA126,AA126+AA126*VLOOKUP(H126,BUFFERS_BY_TYPE,2,FALSE))))*VLOOKUP($S$5, SALES_CALL_SCALE_ARRAY, 2,FALSE),0.25)</f>
        <v>0</v>
      </c>
      <c r="T126" s="116"/>
      <c r="U126" s="17">
        <v>0</v>
      </c>
      <c r="V126" s="17">
        <v>1</v>
      </c>
      <c r="W126" s="17">
        <v>0</v>
      </c>
      <c r="X126" s="115"/>
      <c r="Y126" s="230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</v>
      </c>
      <c r="Z126" s="18"/>
      <c r="AA126" s="230">
        <f>Y126+Y126*VLOOKUP(I126,EXTRAS_ARRAY,2,FALSE)</f>
        <v>0</v>
      </c>
      <c r="AB126" s="16" t="s">
        <v>215</v>
      </c>
      <c r="AC126" s="29"/>
      <c r="AD126" s="226" t="b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>0</v>
      </c>
    </row>
    <row r="127" spans="1:30" s="6" customFormat="1" ht="7.5" customHeight="1" outlineLevel="2" x14ac:dyDescent="0.2">
      <c r="A127" s="212" t="s">
        <v>68</v>
      </c>
      <c r="B127" s="12"/>
      <c r="C127" s="56"/>
      <c r="D127" s="56"/>
      <c r="E127" s="56"/>
      <c r="F127" s="56"/>
      <c r="M127" s="180"/>
      <c r="T127" s="12"/>
      <c r="X127" s="12"/>
      <c r="AB127" s="7"/>
      <c r="AC127" s="7"/>
      <c r="AD127" s="7"/>
    </row>
    <row r="128" spans="1:30" s="11" customFormat="1" ht="15.5" customHeight="1" outlineLevel="1" x14ac:dyDescent="0.2">
      <c r="A128" s="212" t="s">
        <v>200</v>
      </c>
      <c r="B128" s="14"/>
      <c r="C128" s="61"/>
      <c r="D128" s="61"/>
      <c r="E128" s="61"/>
      <c r="F128" s="60"/>
      <c r="G128" s="125"/>
      <c r="H128" s="125"/>
      <c r="I128" s="125"/>
      <c r="J128" s="125"/>
      <c r="K128" s="125"/>
      <c r="L128" s="69" t="s">
        <v>20</v>
      </c>
      <c r="M128" s="308" t="s">
        <v>216</v>
      </c>
      <c r="N128" s="294"/>
      <c r="O128" s="64"/>
      <c r="P128" s="65"/>
      <c r="Q128" s="65"/>
      <c r="R128" s="65"/>
      <c r="S128" s="300">
        <f>SUMGROUP(ROW(), "T")</f>
        <v>5</v>
      </c>
      <c r="T128" s="294"/>
      <c r="U128" s="306"/>
      <c r="V128" s="294"/>
      <c r="W128" s="294"/>
      <c r="X128" s="66"/>
      <c r="Y128" s="67"/>
      <c r="Z128" s="67"/>
      <c r="AA128" s="67"/>
      <c r="AB128" s="156"/>
      <c r="AC128" s="68"/>
      <c r="AD128" s="226" t="str">
        <f>IF(M128="", "Error: Module name cannot be empty.", "")</f>
        <v/>
      </c>
    </row>
    <row r="129" spans="1:30" s="11" customFormat="1" ht="15.5" customHeight="1" outlineLevel="1" collapsed="1" x14ac:dyDescent="0.2">
      <c r="A129" s="212" t="s">
        <v>52</v>
      </c>
      <c r="B129" s="14"/>
      <c r="C129" s="61"/>
      <c r="D129" s="61"/>
      <c r="E129" s="61"/>
      <c r="F129" s="60"/>
      <c r="G129" s="24"/>
      <c r="H129" s="24"/>
      <c r="I129" s="24"/>
      <c r="J129" s="24"/>
      <c r="K129" s="24"/>
      <c r="L129" s="223">
        <f ca="1">LOOKUP(1000,INDIRECT("L1:"&amp;CELL("address",INDIRECT("R[-1]C",FALSE))))+1</f>
        <v>6</v>
      </c>
      <c r="M129" s="299" t="s">
        <v>216</v>
      </c>
      <c r="N129" s="294"/>
      <c r="O129" s="4"/>
      <c r="P129" s="25"/>
      <c r="Q129" s="25"/>
      <c r="R129" s="25"/>
      <c r="S129" s="25"/>
      <c r="T129" s="225">
        <f>IF($S$6="Exclude", SUMIFS(S130:S133, J130:J133, "&lt;&gt;Yes", G130:G133, "&lt;&gt;Yes"), SUMIFS(S130:S133, J130:J133, "&lt;&gt;Yes"))</f>
        <v>5</v>
      </c>
      <c r="U129" s="25"/>
      <c r="V129" s="25"/>
      <c r="W129" s="25"/>
      <c r="X129" s="26"/>
      <c r="Y129" s="27"/>
      <c r="Z129" s="27"/>
      <c r="AA129" s="27"/>
      <c r="AB129" s="155"/>
      <c r="AC129" s="28"/>
      <c r="AD129" s="226" t="str">
        <f>IF(M129="", "Error: Task name cannot be empty.", "")</f>
        <v/>
      </c>
    </row>
    <row r="130" spans="1:30" s="9" customFormat="1" ht="1.5" hidden="1" customHeight="1" outlineLevel="2" x14ac:dyDescent="0.2">
      <c r="A130" s="212" t="s">
        <v>54</v>
      </c>
      <c r="B130" s="14"/>
      <c r="C130" s="61"/>
      <c r="D130" s="61"/>
      <c r="E130" s="61"/>
      <c r="F130" s="60"/>
      <c r="G130" s="24"/>
      <c r="H130" s="24"/>
      <c r="I130" s="24"/>
      <c r="J130" s="24"/>
      <c r="K130" s="24"/>
      <c r="L130" s="227">
        <f ca="1">L129</f>
        <v>6</v>
      </c>
      <c r="M130" s="228" t="s">
        <v>55</v>
      </c>
      <c r="N130" s="118"/>
      <c r="O130" s="119"/>
      <c r="P130" s="25"/>
      <c r="Q130" s="25"/>
      <c r="R130" s="25"/>
      <c r="S130" s="25"/>
      <c r="T130" s="114"/>
      <c r="U130" s="25"/>
      <c r="V130" s="25"/>
      <c r="W130" s="25"/>
      <c r="X130" s="26"/>
      <c r="Y130" s="27"/>
      <c r="Z130" s="27"/>
      <c r="AA130" s="27"/>
      <c r="AB130" s="28"/>
      <c r="AC130" s="28"/>
      <c r="AD130" s="19"/>
    </row>
    <row r="131" spans="1:30" ht="43.5" hidden="1" customHeight="1" outlineLevel="2" x14ac:dyDescent="0.2">
      <c r="A131" s="212" t="s">
        <v>49</v>
      </c>
      <c r="B131" s="14"/>
      <c r="C131" s="62"/>
      <c r="D131" s="62"/>
      <c r="E131" s="62"/>
      <c r="F131" s="63"/>
      <c r="G131" s="15" t="s">
        <v>57</v>
      </c>
      <c r="H131" s="15" t="s">
        <v>57</v>
      </c>
      <c r="I131" s="16" t="s">
        <v>57</v>
      </c>
      <c r="J131" s="15" t="s">
        <v>57</v>
      </c>
      <c r="K131" s="30"/>
      <c r="L131" s="15"/>
      <c r="M131" s="229" t="str">
        <f ca="1">IFERROR(OFFSET(M131,-1,,1,1)+0.1,OFFSET(M131,-1,-1,1,1)&amp;".1")</f>
        <v>6.1</v>
      </c>
      <c r="N131" s="16" t="s">
        <v>217</v>
      </c>
      <c r="O131" s="16"/>
      <c r="P131" s="16"/>
      <c r="Q131" s="100">
        <v>1</v>
      </c>
      <c r="R131" s="95"/>
      <c r="S131" s="230">
        <f>CEILING((IF(J131="Yes", 0, IF(H131="-",AA131,AA131+AA131*VLOOKUP(H131,BUFFERS_BY_TYPE,2,FALSE)))) +
   (IF(J131="Yes", 0, IF(H131="-",AA131,AA131+AA131*VLOOKUP(H131,BUFFERS_BY_TYPE,2,FALSE))))*VLOOKUP($S$5, SALES_CALL_SCALE_ARRAY, 2,FALSE),0.25)</f>
        <v>2</v>
      </c>
      <c r="T131" s="116"/>
      <c r="U131" s="17">
        <v>0</v>
      </c>
      <c r="V131" s="17">
        <v>1</v>
      </c>
      <c r="W131" s="17">
        <v>0</v>
      </c>
      <c r="X131" s="115">
        <v>2</v>
      </c>
      <c r="Y131" s="230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2</v>
      </c>
      <c r="Z131" s="18"/>
      <c r="AA131" s="230">
        <f>Y131+Y131*VLOOKUP(I131,EXTRAS_ARRAY,2,FALSE)</f>
        <v>2</v>
      </c>
      <c r="AB131" s="16" t="s">
        <v>218</v>
      </c>
      <c r="AC131" s="29"/>
      <c r="AD131" s="226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ht="43.5" hidden="1" customHeight="1" outlineLevel="2" x14ac:dyDescent="0.2">
      <c r="A132" s="212" t="s">
        <v>49</v>
      </c>
      <c r="B132" s="14"/>
      <c r="C132" s="62"/>
      <c r="D132" s="62"/>
      <c r="E132" s="62"/>
      <c r="F132" s="63"/>
      <c r="G132" s="15" t="s">
        <v>57</v>
      </c>
      <c r="H132" s="15" t="s">
        <v>57</v>
      </c>
      <c r="I132" s="16" t="s">
        <v>57</v>
      </c>
      <c r="J132" s="15" t="s">
        <v>57</v>
      </c>
      <c r="K132" s="30" t="s">
        <v>219</v>
      </c>
      <c r="L132" s="15"/>
      <c r="M132" s="229">
        <f ca="1">IFERROR(OFFSET(M132,-1,,1,1)+0.1,OFFSET(M132,-1,-1,1,1)&amp;".1")</f>
        <v>6.1999999999999993</v>
      </c>
      <c r="N132" s="16" t="s">
        <v>220</v>
      </c>
      <c r="O132" s="16"/>
      <c r="P132" s="16"/>
      <c r="Q132" s="100">
        <v>1</v>
      </c>
      <c r="R132" s="95"/>
      <c r="S132" s="230">
        <f>CEILING((IF(J132="Yes", 0, IF(H132="-",AA132,AA132+AA132*VLOOKUP(H132,BUFFERS_BY_TYPE,2,FALSE)))) +
   (IF(J132="Yes", 0, IF(H132="-",AA132,AA132+AA132*VLOOKUP(H132,BUFFERS_BY_TYPE,2,FALSE))))*VLOOKUP($S$5, SALES_CALL_SCALE_ARRAY, 2,FALSE),0.25)</f>
        <v>3</v>
      </c>
      <c r="T132" s="116"/>
      <c r="U132" s="17">
        <v>0</v>
      </c>
      <c r="V132" s="17">
        <v>1</v>
      </c>
      <c r="W132" s="17">
        <v>0</v>
      </c>
      <c r="X132" s="115">
        <v>3</v>
      </c>
      <c r="Y132" s="230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3</v>
      </c>
      <c r="Z132" s="18"/>
      <c r="AA132" s="230">
        <f>Y132+Y132*VLOOKUP(I132,EXTRAS_ARRAY,2,FALSE)</f>
        <v>3</v>
      </c>
      <c r="AB132" s="16" t="s">
        <v>221</v>
      </c>
      <c r="AC132" s="29"/>
      <c r="AD132" s="226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spans="1:30" s="6" customFormat="1" ht="7.5" hidden="1" customHeight="1" outlineLevel="2" x14ac:dyDescent="0.2">
      <c r="A133" s="212" t="s">
        <v>68</v>
      </c>
      <c r="B133" s="12"/>
      <c r="C133" s="56"/>
      <c r="D133" s="56"/>
      <c r="E133" s="56"/>
      <c r="F133" s="56"/>
      <c r="M133" s="180"/>
      <c r="T133" s="12"/>
      <c r="X133" s="12"/>
      <c r="AB133" s="7"/>
      <c r="AC133" s="7"/>
      <c r="AD133" s="7"/>
    </row>
    <row r="134" spans="1:30" s="6" customFormat="1" ht="3" customHeight="1" outlineLevel="1" x14ac:dyDescent="0.2">
      <c r="A134" s="212" t="s">
        <v>141</v>
      </c>
      <c r="C134" s="56"/>
      <c r="D134" s="56"/>
      <c r="E134" s="56"/>
      <c r="F134" s="56"/>
      <c r="G134" s="21"/>
      <c r="H134" s="21"/>
      <c r="I134" s="21"/>
      <c r="J134" s="21"/>
      <c r="K134" s="21"/>
      <c r="L134" s="48"/>
      <c r="M134" s="189"/>
      <c r="N134" s="49"/>
      <c r="O134" s="49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9"/>
      <c r="AC134" s="49"/>
      <c r="AD134" s="7"/>
    </row>
    <row r="135" spans="1:30" s="11" customFormat="1" ht="18.5" customHeight="1" x14ac:dyDescent="0.2">
      <c r="A135" s="212" t="s">
        <v>46</v>
      </c>
      <c r="B135" s="9"/>
      <c r="C135" s="57"/>
      <c r="D135" s="57"/>
      <c r="E135" s="57"/>
      <c r="F135" s="56"/>
      <c r="G135" s="44"/>
      <c r="H135" s="44"/>
      <c r="I135" s="44"/>
      <c r="J135" s="44"/>
      <c r="K135" s="44"/>
      <c r="L135" s="44" t="s">
        <v>222</v>
      </c>
      <c r="M135" s="187" t="s">
        <v>223</v>
      </c>
      <c r="N135" s="45"/>
      <c r="O135" s="46"/>
      <c r="P135" s="47"/>
      <c r="Q135" s="47"/>
      <c r="R135" s="47"/>
      <c r="S135" s="296">
        <f>CEILING(SUMIF(J136:J172, "&lt;&gt;Yes", T136:T172),1)</f>
        <v>109</v>
      </c>
      <c r="T135" s="294"/>
      <c r="U135" s="47"/>
      <c r="V135" s="47"/>
      <c r="W135" s="47"/>
      <c r="X135" s="47"/>
      <c r="Y135" s="47"/>
      <c r="Z135" s="47"/>
      <c r="AA135" s="47"/>
      <c r="AB135" s="47"/>
      <c r="AC135" s="47"/>
      <c r="AD135" s="10"/>
    </row>
    <row r="136" spans="1:30" s="6" customFormat="1" ht="3" customHeight="1" outlineLevel="1" x14ac:dyDescent="0.2">
      <c r="A136" s="212" t="s">
        <v>51</v>
      </c>
      <c r="B136" s="12"/>
      <c r="C136" s="56"/>
      <c r="D136" s="56"/>
      <c r="E136" s="56"/>
      <c r="F136" s="56"/>
      <c r="G136" s="21"/>
      <c r="H136" s="21"/>
      <c r="I136" s="21"/>
      <c r="J136" s="21"/>
      <c r="K136" s="21"/>
      <c r="L136" s="53">
        <v>0</v>
      </c>
      <c r="M136" s="188"/>
      <c r="N136" s="21"/>
      <c r="O136" s="21"/>
      <c r="P136" s="21"/>
      <c r="Q136" s="21"/>
      <c r="R136" s="21"/>
      <c r="S136" s="21"/>
      <c r="T136" s="22"/>
      <c r="U136" s="21"/>
      <c r="V136" s="21"/>
      <c r="W136" s="21"/>
      <c r="X136" s="22"/>
      <c r="Y136" s="21"/>
      <c r="Z136" s="21"/>
      <c r="AA136" s="21"/>
      <c r="AB136" s="23"/>
      <c r="AC136" s="23"/>
      <c r="AD136" s="7"/>
    </row>
    <row r="137" spans="1:30" s="11" customFormat="1" ht="15.5" customHeight="1" outlineLevel="1" x14ac:dyDescent="0.2">
      <c r="A137" s="212" t="s">
        <v>200</v>
      </c>
      <c r="B137" s="14"/>
      <c r="C137" s="61"/>
      <c r="D137" s="61"/>
      <c r="E137" s="61"/>
      <c r="F137" s="60"/>
      <c r="G137" s="125"/>
      <c r="H137" s="125"/>
      <c r="I137" s="125"/>
      <c r="J137" s="125"/>
      <c r="K137" s="125"/>
      <c r="L137" s="69" t="s">
        <v>20</v>
      </c>
      <c r="M137" s="308" t="s">
        <v>224</v>
      </c>
      <c r="N137" s="294"/>
      <c r="O137" s="64"/>
      <c r="P137" s="65"/>
      <c r="Q137" s="65"/>
      <c r="R137" s="65"/>
      <c r="S137" s="300">
        <f>SUMGROUP(ROW(), "T")</f>
        <v>6.75</v>
      </c>
      <c r="T137" s="294"/>
      <c r="U137" s="306"/>
      <c r="V137" s="294"/>
      <c r="W137" s="294"/>
      <c r="X137" s="66"/>
      <c r="Y137" s="67"/>
      <c r="Z137" s="67"/>
      <c r="AA137" s="67"/>
      <c r="AB137" s="156"/>
      <c r="AC137" s="68"/>
      <c r="AD137" s="226" t="str">
        <f>IF(M137="", "Error: Module name cannot be empty.", "")</f>
        <v/>
      </c>
    </row>
    <row r="138" spans="1:30" s="11" customFormat="1" ht="15.5" customHeight="1" outlineLevel="1" collapsed="1" x14ac:dyDescent="0.2">
      <c r="A138" s="212" t="s">
        <v>52</v>
      </c>
      <c r="B138" s="14"/>
      <c r="C138" s="61"/>
      <c r="D138" s="61"/>
      <c r="E138" s="61"/>
      <c r="F138" s="60"/>
      <c r="G138" s="24"/>
      <c r="H138" s="24"/>
      <c r="I138" s="24"/>
      <c r="J138" s="24"/>
      <c r="K138" s="24"/>
      <c r="L138" s="223">
        <f ca="1">LOOKUP(1000,INDIRECT("L1:"&amp;CELL("address",INDIRECT("R[-1]C",FALSE))))+1</f>
        <v>1</v>
      </c>
      <c r="M138" s="299" t="s">
        <v>225</v>
      </c>
      <c r="N138" s="294"/>
      <c r="O138" s="4"/>
      <c r="P138" s="25"/>
      <c r="Q138" s="25"/>
      <c r="R138" s="25"/>
      <c r="S138" s="25"/>
      <c r="T138" s="225">
        <f>IF($S$6="Exclude", SUMIFS(S139:S142, J139:J142, "&lt;&gt;Yes", G139:G142, "&lt;&gt;Yes"), SUMIFS(S139:S142, J139:J142, "&lt;&gt;Yes"))</f>
        <v>6.75</v>
      </c>
      <c r="U138" s="25"/>
      <c r="V138" s="25"/>
      <c r="W138" s="25"/>
      <c r="X138" s="26"/>
      <c r="Y138" s="27"/>
      <c r="Z138" s="27"/>
      <c r="AA138" s="27"/>
      <c r="AB138" s="155"/>
      <c r="AC138" s="28"/>
      <c r="AD138" s="226" t="str">
        <f>IF(M138="", "Error: Task name cannot be empty.", "")</f>
        <v/>
      </c>
    </row>
    <row r="139" spans="1:30" s="9" customFormat="1" ht="1.5" hidden="1" customHeight="1" outlineLevel="2" x14ac:dyDescent="0.2">
      <c r="A139" s="212" t="s">
        <v>54</v>
      </c>
      <c r="B139" s="14"/>
      <c r="C139" s="61"/>
      <c r="D139" s="61"/>
      <c r="E139" s="61"/>
      <c r="F139" s="60"/>
      <c r="G139" s="24"/>
      <c r="H139" s="24"/>
      <c r="I139" s="24"/>
      <c r="J139" s="24"/>
      <c r="K139" s="24"/>
      <c r="L139" s="227">
        <f ca="1">L138</f>
        <v>1</v>
      </c>
      <c r="M139" s="228" t="s">
        <v>55</v>
      </c>
      <c r="N139" s="118"/>
      <c r="O139" s="119"/>
      <c r="P139" s="25"/>
      <c r="Q139" s="25"/>
      <c r="R139" s="25"/>
      <c r="S139" s="25"/>
      <c r="T139" s="114"/>
      <c r="U139" s="25"/>
      <c r="V139" s="25"/>
      <c r="W139" s="25"/>
      <c r="X139" s="26"/>
      <c r="Y139" s="27"/>
      <c r="Z139" s="27"/>
      <c r="AA139" s="27"/>
      <c r="AB139" s="28"/>
      <c r="AC139" s="28"/>
      <c r="AD139" s="19"/>
    </row>
    <row r="140" spans="1:30" ht="43.5" hidden="1" customHeight="1" outlineLevel="2" x14ac:dyDescent="0.2">
      <c r="A140" s="212" t="s">
        <v>49</v>
      </c>
      <c r="B140" s="14"/>
      <c r="C140" s="62"/>
      <c r="D140" s="62"/>
      <c r="E140" s="62"/>
      <c r="F140" s="63"/>
      <c r="G140" s="15" t="s">
        <v>57</v>
      </c>
      <c r="H140" s="15" t="s">
        <v>57</v>
      </c>
      <c r="I140" s="16" t="s">
        <v>57</v>
      </c>
      <c r="J140" s="15" t="s">
        <v>57</v>
      </c>
      <c r="K140" s="30"/>
      <c r="L140" s="15"/>
      <c r="M140" s="229" t="str">
        <f ca="1">IFERROR(OFFSET(M140,-1,,1,1)+0.1,OFFSET(M140,-1,-1,1,1)&amp;".1")</f>
        <v>1.1</v>
      </c>
      <c r="N140" s="16" t="s">
        <v>226</v>
      </c>
      <c r="O140" s="16"/>
      <c r="P140" s="16"/>
      <c r="Q140" s="100">
        <v>1</v>
      </c>
      <c r="R140" s="95"/>
      <c r="S140" s="230">
        <f>CEILING((IF(J140="Yes", 0, IF(H140="-",AA140,AA140+AA140*VLOOKUP(H140,BUFFERS_BY_TYPE,2,FALSE)))) +
   (IF(J140="Yes", 0, IF(H140="-",AA140,AA140+AA140*VLOOKUP(H140,BUFFERS_BY_TYPE,2,FALSE))))*VLOOKUP($S$5, SALES_CALL_SCALE_ARRAY, 2,FALSE),0.25)</f>
        <v>3</v>
      </c>
      <c r="T140" s="116"/>
      <c r="U140" s="17">
        <v>0</v>
      </c>
      <c r="V140" s="17">
        <v>1</v>
      </c>
      <c r="W140" s="17">
        <v>0</v>
      </c>
      <c r="X140" s="115">
        <v>3</v>
      </c>
      <c r="Y140" s="230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3</v>
      </c>
      <c r="Z140" s="18"/>
      <c r="AA140" s="230">
        <f>Y140+Y140*VLOOKUP(I140,EXTRAS_ARRAY,2,FALSE)</f>
        <v>3</v>
      </c>
      <c r="AB140" s="16" t="s">
        <v>227</v>
      </c>
      <c r="AC140" s="29"/>
      <c r="AD140" s="226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ht="43.5" hidden="1" customHeight="1" outlineLevel="2" x14ac:dyDescent="0.2">
      <c r="A141" s="212" t="s">
        <v>49</v>
      </c>
      <c r="B141" s="14"/>
      <c r="C141" s="62"/>
      <c r="D141" s="62"/>
      <c r="E141" s="62"/>
      <c r="F141" s="63"/>
      <c r="G141" s="15" t="s">
        <v>57</v>
      </c>
      <c r="H141" s="15" t="s">
        <v>57</v>
      </c>
      <c r="I141" s="16" t="s">
        <v>57</v>
      </c>
      <c r="J141" s="15" t="s">
        <v>57</v>
      </c>
      <c r="K141" s="30"/>
      <c r="L141" s="15"/>
      <c r="M141" s="229">
        <f ca="1">IFERROR(OFFSET(M141,-1,,1,1)+0.1,OFFSET(M141,-1,-1,1,1)&amp;".1")</f>
        <v>1.2000000000000002</v>
      </c>
      <c r="N141" s="16" t="s">
        <v>228</v>
      </c>
      <c r="O141" s="16"/>
      <c r="P141" s="16" t="s">
        <v>229</v>
      </c>
      <c r="Q141" s="100">
        <f>Total_Use_Cases</f>
        <v>75</v>
      </c>
      <c r="R141" s="95"/>
      <c r="S141" s="230">
        <f>CEILING((IF(J141="Yes", 0, IF(H141="-",AA141,AA141+AA141*VLOOKUP(H141,BUFFERS_BY_TYPE,2,FALSE)))) +
   (IF(J141="Yes", 0, IF(H141="-",AA141,AA141+AA141*VLOOKUP(H141,BUFFERS_BY_TYPE,2,FALSE))))*VLOOKUP($S$5, SALES_CALL_SCALE_ARRAY, 2,FALSE),0.25)</f>
        <v>3.75</v>
      </c>
      <c r="T141" s="116"/>
      <c r="U141" s="17">
        <v>0</v>
      </c>
      <c r="V141" s="17">
        <v>1</v>
      </c>
      <c r="W141" s="17">
        <v>0</v>
      </c>
      <c r="X141" s="115">
        <v>0.05</v>
      </c>
      <c r="Y141" s="230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3.75</v>
      </c>
      <c r="Z141" s="18"/>
      <c r="AA141" s="230">
        <f>Y141+Y141*VLOOKUP(I141,EXTRAS_ARRAY,2,FALSE)</f>
        <v>3.75</v>
      </c>
      <c r="AB141" s="16" t="s">
        <v>230</v>
      </c>
      <c r="AC141" s="29"/>
      <c r="AD141" s="226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s="6" customFormat="1" ht="7.5" hidden="1" customHeight="1" outlineLevel="2" x14ac:dyDescent="0.2">
      <c r="A142" s="212" t="s">
        <v>68</v>
      </c>
      <c r="B142" s="12"/>
      <c r="C142" s="56"/>
      <c r="D142" s="56"/>
      <c r="E142" s="56"/>
      <c r="F142" s="56"/>
      <c r="M142" s="180"/>
      <c r="T142" s="12"/>
      <c r="X142" s="12"/>
      <c r="AB142" s="7"/>
      <c r="AC142" s="7"/>
      <c r="AD142" s="7"/>
    </row>
    <row r="143" spans="1:30" s="11" customFormat="1" ht="15.5" customHeight="1" outlineLevel="1" x14ac:dyDescent="0.2">
      <c r="A143" s="212" t="s">
        <v>200</v>
      </c>
      <c r="B143" s="14"/>
      <c r="C143" s="61"/>
      <c r="D143" s="61"/>
      <c r="E143" s="61"/>
      <c r="F143" s="60"/>
      <c r="G143" s="125"/>
      <c r="H143" s="125"/>
      <c r="I143" s="125"/>
      <c r="J143" s="125"/>
      <c r="K143" s="125"/>
      <c r="L143" s="69" t="s">
        <v>20</v>
      </c>
      <c r="M143" s="308" t="s">
        <v>231</v>
      </c>
      <c r="N143" s="294"/>
      <c r="O143" s="64"/>
      <c r="P143" s="65"/>
      <c r="Q143" s="65"/>
      <c r="R143" s="65"/>
      <c r="S143" s="300">
        <f>SUMGROUP(ROW(), "T")</f>
        <v>102.25</v>
      </c>
      <c r="T143" s="294"/>
      <c r="U143" s="306"/>
      <c r="V143" s="294"/>
      <c r="W143" s="294"/>
      <c r="X143" s="66"/>
      <c r="Y143" s="67"/>
      <c r="Z143" s="67"/>
      <c r="AA143" s="67"/>
      <c r="AB143" s="156"/>
      <c r="AC143" s="68"/>
      <c r="AD143" s="226" t="str">
        <f>IF(M143="", "Error: Module name cannot be empty.", "")</f>
        <v/>
      </c>
    </row>
    <row r="144" spans="1:30" s="11" customFormat="1" ht="15.5" customHeight="1" outlineLevel="1" collapsed="1" x14ac:dyDescent="0.2">
      <c r="A144" s="212" t="s">
        <v>52</v>
      </c>
      <c r="B144" s="14"/>
      <c r="C144" s="61"/>
      <c r="D144" s="61"/>
      <c r="E144" s="61"/>
      <c r="F144" s="60"/>
      <c r="G144" s="24"/>
      <c r="H144" s="24"/>
      <c r="I144" s="24"/>
      <c r="J144" s="24"/>
      <c r="K144" s="24"/>
      <c r="L144" s="223">
        <f ca="1">LOOKUP(1000,INDIRECT("L1:"&amp;CELL("address",INDIRECT("R[-1]C",FALSE))))+1</f>
        <v>2</v>
      </c>
      <c r="M144" s="299" t="s">
        <v>232</v>
      </c>
      <c r="N144" s="294"/>
      <c r="O144" s="4"/>
      <c r="P144" s="25"/>
      <c r="Q144" s="25"/>
      <c r="R144" s="25"/>
      <c r="S144" s="25"/>
      <c r="T144" s="225">
        <f>IF($S$6="Exclude", SUMIFS(S145:S150, J145:J150, "&lt;&gt;Yes", G145:G150, "&lt;&gt;Yes"), SUMIFS(S145:S150, J145:J150, "&lt;&gt;Yes"))</f>
        <v>52.75</v>
      </c>
      <c r="U144" s="25"/>
      <c r="V144" s="25"/>
      <c r="W144" s="25"/>
      <c r="X144" s="26"/>
      <c r="Y144" s="27"/>
      <c r="Z144" s="27"/>
      <c r="AA144" s="27"/>
      <c r="AB144" s="155"/>
      <c r="AC144" s="28"/>
      <c r="AD144" s="226" t="str">
        <f>IF(M144="", "Error: Task name cannot be empty.", "")</f>
        <v/>
      </c>
    </row>
    <row r="145" spans="1:30" s="9" customFormat="1" ht="1.5" hidden="1" customHeight="1" outlineLevel="2" x14ac:dyDescent="0.2">
      <c r="A145" s="212" t="s">
        <v>54</v>
      </c>
      <c r="B145" s="14"/>
      <c r="C145" s="61"/>
      <c r="D145" s="61"/>
      <c r="E145" s="61"/>
      <c r="F145" s="60"/>
      <c r="G145" s="24"/>
      <c r="H145" s="24"/>
      <c r="I145" s="24"/>
      <c r="J145" s="24"/>
      <c r="K145" s="24"/>
      <c r="L145" s="227">
        <f ca="1">L144</f>
        <v>2</v>
      </c>
      <c r="M145" s="228" t="s">
        <v>55</v>
      </c>
      <c r="N145" s="118"/>
      <c r="O145" s="119"/>
      <c r="P145" s="25"/>
      <c r="Q145" s="25"/>
      <c r="R145" s="25"/>
      <c r="S145" s="25"/>
      <c r="T145" s="114"/>
      <c r="U145" s="25"/>
      <c r="V145" s="25"/>
      <c r="W145" s="25"/>
      <c r="X145" s="26"/>
      <c r="Y145" s="27"/>
      <c r="Z145" s="27"/>
      <c r="AA145" s="27"/>
      <c r="AB145" s="28"/>
      <c r="AC145" s="28"/>
      <c r="AD145" s="19"/>
    </row>
    <row r="146" spans="1:30" ht="43.5" hidden="1" customHeight="1" outlineLevel="2" x14ac:dyDescent="0.2">
      <c r="A146" s="212" t="s">
        <v>49</v>
      </c>
      <c r="B146" s="14"/>
      <c r="C146" s="62"/>
      <c r="D146" s="62"/>
      <c r="E146" s="62"/>
      <c r="F146" s="63"/>
      <c r="G146" s="15" t="s">
        <v>57</v>
      </c>
      <c r="H146" s="15" t="s">
        <v>57</v>
      </c>
      <c r="I146" s="16" t="s">
        <v>57</v>
      </c>
      <c r="J146" s="15" t="s">
        <v>57</v>
      </c>
      <c r="K146" s="30"/>
      <c r="L146" s="15"/>
      <c r="M146" s="229" t="str">
        <f ca="1">IFERROR(OFFSET(M146,-1,,1,1)+0.1,OFFSET(M146,-1,-1,1,1)&amp;".1")</f>
        <v>2.1</v>
      </c>
      <c r="N146" s="16" t="s">
        <v>233</v>
      </c>
      <c r="O146" s="16"/>
      <c r="P146" s="16"/>
      <c r="Q146" s="100">
        <v>1</v>
      </c>
      <c r="R146" s="95"/>
      <c r="S146" s="230">
        <f>CEILING((IF(J146="Yes", 0, IF(H146="-",AA146,AA146+AA146*VLOOKUP(H146,BUFFERS_BY_TYPE,2,FALSE)))) +
   (IF(J146="Yes", 0, IF(H146="-",AA146,AA146+AA146*VLOOKUP(H146,BUFFERS_BY_TYPE,2,FALSE))))*VLOOKUP($S$5, SALES_CALL_SCALE_ARRAY, 2,FALSE),0.25)</f>
        <v>2</v>
      </c>
      <c r="T146" s="116"/>
      <c r="U146" s="17">
        <v>0</v>
      </c>
      <c r="V146" s="17">
        <v>1</v>
      </c>
      <c r="W146" s="17">
        <v>0</v>
      </c>
      <c r="X146" s="115">
        <v>2</v>
      </c>
      <c r="Y146" s="230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>2</v>
      </c>
      <c r="Z146" s="18"/>
      <c r="AA146" s="230">
        <f>Y146+Y146*VLOOKUP(I146,EXTRAS_ARRAY,2,FALSE)</f>
        <v>2</v>
      </c>
      <c r="AB146" s="16" t="s">
        <v>234</v>
      </c>
      <c r="AC146" s="29"/>
      <c r="AD146" s="226" t="str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/>
      </c>
    </row>
    <row r="147" spans="1:30" ht="87" hidden="1" customHeight="1" outlineLevel="2" x14ac:dyDescent="0.2">
      <c r="A147" s="212" t="s">
        <v>49</v>
      </c>
      <c r="B147" s="14"/>
      <c r="C147" s="62"/>
      <c r="D147" s="62"/>
      <c r="E147" s="62"/>
      <c r="F147" s="63"/>
      <c r="G147" s="15" t="s">
        <v>57</v>
      </c>
      <c r="H147" s="15" t="s">
        <v>57</v>
      </c>
      <c r="I147" s="16" t="s">
        <v>57</v>
      </c>
      <c r="J147" s="15" t="s">
        <v>57</v>
      </c>
      <c r="K147" s="30" t="s">
        <v>235</v>
      </c>
      <c r="L147" s="15"/>
      <c r="M147" s="229">
        <f ca="1">IFERROR(OFFSET(M147,-1,,1,1)+0.1,OFFSET(M147,-1,-1,1,1)&amp;".1")</f>
        <v>2.2000000000000002</v>
      </c>
      <c r="N147" s="16" t="s">
        <v>236</v>
      </c>
      <c r="O147" s="16" t="s">
        <v>237</v>
      </c>
      <c r="P147" s="16">
        <f>Total_Use_Cases * R147</f>
        <v>375</v>
      </c>
      <c r="Q147" s="100">
        <f>Total_Use_Cases</f>
        <v>75</v>
      </c>
      <c r="R147" s="95">
        <v>5</v>
      </c>
      <c r="S147" s="230">
        <f>CEILING((IF(J147="Yes", 0, IF(H147="-",AA147,AA147+AA147*VLOOKUP(H147,BUFFERS_BY_TYPE,2,FALSE)))) +
   (IF(J147="Yes", 0, IF(H147="-",AA147,AA147+AA147*VLOOKUP(H147,BUFFERS_BY_TYPE,2,FALSE))))*VLOOKUP($S$5, SALES_CALL_SCALE_ARRAY, 2,FALSE),0.25)</f>
        <v>18.75</v>
      </c>
      <c r="T147" s="116"/>
      <c r="U147" s="17">
        <v>0</v>
      </c>
      <c r="V147" s="17">
        <v>1</v>
      </c>
      <c r="W147" s="17">
        <v>0</v>
      </c>
      <c r="X147" s="115">
        <v>0.05</v>
      </c>
      <c r="Y147" s="230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18.75</v>
      </c>
      <c r="Z147" s="18"/>
      <c r="AA147" s="230">
        <f>Y147+Y147*VLOOKUP(I147,EXTRAS_ARRAY,2,FALSE)</f>
        <v>18.75</v>
      </c>
      <c r="AB147" s="16" t="s">
        <v>238</v>
      </c>
      <c r="AC147" s="29"/>
      <c r="AD147" s="226" t="str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spans="1:30" ht="87" hidden="1" customHeight="1" outlineLevel="2" x14ac:dyDescent="0.2">
      <c r="A148" s="212" t="s">
        <v>49</v>
      </c>
      <c r="B148" s="14"/>
      <c r="C148" s="62"/>
      <c r="D148" s="62"/>
      <c r="E148" s="62"/>
      <c r="F148" s="63"/>
      <c r="G148" s="15" t="s">
        <v>57</v>
      </c>
      <c r="H148" s="15" t="s">
        <v>57</v>
      </c>
      <c r="I148" s="16" t="s">
        <v>57</v>
      </c>
      <c r="J148" s="15" t="s">
        <v>57</v>
      </c>
      <c r="K148" s="30" t="s">
        <v>239</v>
      </c>
      <c r="L148" s="15"/>
      <c r="M148" s="229">
        <f ca="1">IFERROR(OFFSET(M148,-1,,1,1)+0.1,OFFSET(M148,-1,-1,1,1)&amp;".1")</f>
        <v>2.3000000000000003</v>
      </c>
      <c r="N148" s="16" t="s">
        <v>240</v>
      </c>
      <c r="O148" s="16" t="s">
        <v>237</v>
      </c>
      <c r="P148" s="16">
        <f>Total_Use_Cases * R148</f>
        <v>375</v>
      </c>
      <c r="Q148" s="100">
        <f>Total_Use_Cases</f>
        <v>75</v>
      </c>
      <c r="R148" s="95">
        <v>5</v>
      </c>
      <c r="S148" s="230">
        <f>CEILING((IF(J148="Yes", 0, IF(H148="-",AA148,AA148+AA148*VLOOKUP(H148,BUFFERS_BY_TYPE,2,FALSE)))) +
   (IF(J148="Yes", 0, IF(H148="-",AA148,AA148+AA148*VLOOKUP(H148,BUFFERS_BY_TYPE,2,FALSE))))*VLOOKUP($S$5, SALES_CALL_SCALE_ARRAY, 2,FALSE),0.25)</f>
        <v>30</v>
      </c>
      <c r="T148" s="116"/>
      <c r="U148" s="17">
        <v>0</v>
      </c>
      <c r="V148" s="17">
        <v>1</v>
      </c>
      <c r="W148" s="17">
        <v>0</v>
      </c>
      <c r="X148" s="115">
        <v>0.08</v>
      </c>
      <c r="Y148" s="230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30</v>
      </c>
      <c r="Z148" s="18"/>
      <c r="AA148" s="230">
        <f>Y148+Y148*VLOOKUP(I148,EXTRAS_ARRAY,2,FALSE)</f>
        <v>30</v>
      </c>
      <c r="AB148" s="16" t="s">
        <v>241</v>
      </c>
      <c r="AC148" s="29"/>
      <c r="AD148" s="226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spans="1:30" ht="43.5" hidden="1" customHeight="1" outlineLevel="2" x14ac:dyDescent="0.2">
      <c r="A149" s="212" t="s">
        <v>49</v>
      </c>
      <c r="B149" s="14"/>
      <c r="C149" s="62"/>
      <c r="D149" s="62"/>
      <c r="E149" s="62"/>
      <c r="F149" s="63"/>
      <c r="G149" s="15" t="s">
        <v>57</v>
      </c>
      <c r="H149" s="15" t="s">
        <v>57</v>
      </c>
      <c r="I149" s="16" t="s">
        <v>57</v>
      </c>
      <c r="J149" s="15" t="s">
        <v>57</v>
      </c>
      <c r="K149" s="30"/>
      <c r="L149" s="15"/>
      <c r="M149" s="229">
        <f ca="1">IFERROR(OFFSET(M149,-1,,1,1)+0.1,OFFSET(M149,-1,-1,1,1)&amp;".1")</f>
        <v>2.4000000000000004</v>
      </c>
      <c r="N149" s="16" t="s">
        <v>242</v>
      </c>
      <c r="O149" s="16"/>
      <c r="P149" s="16"/>
      <c r="Q149" s="100">
        <v>1</v>
      </c>
      <c r="R149" s="95"/>
      <c r="S149" s="230">
        <f>CEILING((IF(J149="Yes", 0, IF(H149="-",AA149,AA149+AA149*VLOOKUP(H149,BUFFERS_BY_TYPE,2,FALSE)))) +
   (IF(J149="Yes", 0, IF(H149="-",AA149,AA149+AA149*VLOOKUP(H149,BUFFERS_BY_TYPE,2,FALSE))))*VLOOKUP($S$5, SALES_CALL_SCALE_ARRAY, 2,FALSE),0.25)</f>
        <v>2</v>
      </c>
      <c r="T149" s="116"/>
      <c r="U149" s="17">
        <v>0</v>
      </c>
      <c r="V149" s="17">
        <v>1</v>
      </c>
      <c r="W149" s="17">
        <v>0</v>
      </c>
      <c r="X149" s="115">
        <v>2</v>
      </c>
      <c r="Y149" s="230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2</v>
      </c>
      <c r="Z149" s="18"/>
      <c r="AA149" s="230">
        <f>Y149+Y149*VLOOKUP(I149,EXTRAS_ARRAY,2,FALSE)</f>
        <v>2</v>
      </c>
      <c r="AB149" s="16" t="s">
        <v>243</v>
      </c>
      <c r="AC149" s="29"/>
      <c r="AD149" s="226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s="6" customFormat="1" ht="7.5" hidden="1" customHeight="1" outlineLevel="2" x14ac:dyDescent="0.2">
      <c r="A150" s="212" t="s">
        <v>68</v>
      </c>
      <c r="B150" s="12"/>
      <c r="C150" s="56"/>
      <c r="D150" s="56"/>
      <c r="E150" s="56"/>
      <c r="F150" s="56"/>
      <c r="M150" s="180"/>
      <c r="T150" s="12"/>
      <c r="X150" s="12"/>
      <c r="AB150" s="7"/>
      <c r="AC150" s="7"/>
      <c r="AD150" s="7"/>
    </row>
    <row r="151" spans="1:30" s="11" customFormat="1" ht="15.5" customHeight="1" outlineLevel="1" collapsed="1" x14ac:dyDescent="0.2">
      <c r="A151" s="212" t="s">
        <v>52</v>
      </c>
      <c r="B151" s="14"/>
      <c r="C151" s="61"/>
      <c r="D151" s="61"/>
      <c r="E151" s="61"/>
      <c r="F151" s="60"/>
      <c r="G151" s="24"/>
      <c r="H151" s="24"/>
      <c r="I151" s="24"/>
      <c r="J151" s="24"/>
      <c r="K151" s="24"/>
      <c r="L151" s="223">
        <f ca="1">LOOKUP(1000,INDIRECT("L1:"&amp;CELL("address",INDIRECT("R[-1]C",FALSE))))+1</f>
        <v>3</v>
      </c>
      <c r="M151" s="299" t="s">
        <v>244</v>
      </c>
      <c r="N151" s="294"/>
      <c r="O151" s="4"/>
      <c r="P151" s="25"/>
      <c r="Q151" s="25"/>
      <c r="R151" s="25"/>
      <c r="S151" s="25"/>
      <c r="T151" s="225">
        <f>IF($S$6="Exclude", SUMIFS(S152:S155, J152:J155, "&lt;&gt;Yes", G152:G155, "&lt;&gt;Yes"), SUMIFS(S152:S155, J152:J155, "&lt;&gt;Yes"))</f>
        <v>5.25</v>
      </c>
      <c r="U151" s="25"/>
      <c r="V151" s="25"/>
      <c r="W151" s="25"/>
      <c r="X151" s="26"/>
      <c r="Y151" s="27"/>
      <c r="Z151" s="27"/>
      <c r="AA151" s="27"/>
      <c r="AB151" s="155"/>
      <c r="AC151" s="28"/>
      <c r="AD151" s="226" t="str">
        <f>IF(M151="", "Error: Task name cannot be empty.", "")</f>
        <v/>
      </c>
    </row>
    <row r="152" spans="1:30" s="9" customFormat="1" ht="1.5" hidden="1" customHeight="1" outlineLevel="2" x14ac:dyDescent="0.2">
      <c r="A152" s="212" t="s">
        <v>54</v>
      </c>
      <c r="B152" s="14"/>
      <c r="C152" s="61"/>
      <c r="D152" s="61"/>
      <c r="E152" s="61"/>
      <c r="F152" s="60"/>
      <c r="G152" s="24"/>
      <c r="H152" s="24"/>
      <c r="I152" s="24"/>
      <c r="J152" s="24"/>
      <c r="K152" s="24"/>
      <c r="L152" s="227">
        <f ca="1">L151</f>
        <v>3</v>
      </c>
      <c r="M152" s="228" t="s">
        <v>55</v>
      </c>
      <c r="N152" s="118"/>
      <c r="O152" s="119"/>
      <c r="P152" s="25"/>
      <c r="Q152" s="25"/>
      <c r="R152" s="25"/>
      <c r="S152" s="25"/>
      <c r="T152" s="114"/>
      <c r="U152" s="25"/>
      <c r="V152" s="25"/>
      <c r="W152" s="25"/>
      <c r="X152" s="26"/>
      <c r="Y152" s="27"/>
      <c r="Z152" s="27"/>
      <c r="AA152" s="27"/>
      <c r="AB152" s="28"/>
      <c r="AC152" s="28"/>
      <c r="AD152" s="19"/>
    </row>
    <row r="153" spans="1:30" ht="43.5" hidden="1" customHeight="1" outlineLevel="2" x14ac:dyDescent="0.2">
      <c r="A153" s="212" t="s">
        <v>49</v>
      </c>
      <c r="B153" s="14"/>
      <c r="C153" s="62"/>
      <c r="D153" s="62"/>
      <c r="E153" s="62"/>
      <c r="F153" s="63"/>
      <c r="G153" s="15" t="s">
        <v>57</v>
      </c>
      <c r="H153" s="15" t="s">
        <v>57</v>
      </c>
      <c r="I153" s="16" t="s">
        <v>57</v>
      </c>
      <c r="J153" s="15" t="s">
        <v>57</v>
      </c>
      <c r="K153" s="30"/>
      <c r="L153" s="15"/>
      <c r="M153" s="229" t="str">
        <f ca="1">IFERROR(OFFSET(M153,-1,,1,1)+0.1,OFFSET(M153,-1,-1,1,1)&amp;".1")</f>
        <v>3.1</v>
      </c>
      <c r="N153" s="16" t="s">
        <v>245</v>
      </c>
      <c r="O153" s="16"/>
      <c r="P153" s="16"/>
      <c r="Q153" s="100">
        <v>1</v>
      </c>
      <c r="R153" s="95"/>
      <c r="S153" s="230">
        <f>CEILING((IF(J153="Yes", 0, IF(H153="-",AA153,AA153+AA153*VLOOKUP(H153,BUFFERS_BY_TYPE,2,FALSE)))) +
   (IF(J153="Yes", 0, IF(H153="-",AA153,AA153+AA153*VLOOKUP(H153,BUFFERS_BY_TYPE,2,FALSE))))*VLOOKUP($S$5, SALES_CALL_SCALE_ARRAY, 2,FALSE),0.25)</f>
        <v>1.5</v>
      </c>
      <c r="T153" s="116"/>
      <c r="U153" s="17">
        <v>0</v>
      </c>
      <c r="V153" s="17">
        <v>1</v>
      </c>
      <c r="W153" s="17">
        <v>0</v>
      </c>
      <c r="X153" s="115">
        <v>1.5</v>
      </c>
      <c r="Y153" s="230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1.5</v>
      </c>
      <c r="Z153" s="18"/>
      <c r="AA153" s="230">
        <f>Y153+Y153*VLOOKUP(I153,EXTRAS_ARRAY,2,FALSE)</f>
        <v>1.5</v>
      </c>
      <c r="AB153" s="16" t="s">
        <v>246</v>
      </c>
      <c r="AC153" s="29"/>
      <c r="AD153" s="2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43.5" hidden="1" customHeight="1" outlineLevel="2" x14ac:dyDescent="0.2">
      <c r="A154" s="212" t="s">
        <v>49</v>
      </c>
      <c r="B154" s="14"/>
      <c r="C154" s="62"/>
      <c r="D154" s="62"/>
      <c r="E154" s="62"/>
      <c r="F154" s="63"/>
      <c r="G154" s="15" t="s">
        <v>57</v>
      </c>
      <c r="H154" s="15" t="s">
        <v>57</v>
      </c>
      <c r="I154" s="16" t="s">
        <v>57</v>
      </c>
      <c r="J154" s="15" t="s">
        <v>57</v>
      </c>
      <c r="K154" s="30" t="s">
        <v>247</v>
      </c>
      <c r="L154" s="15"/>
      <c r="M154" s="229">
        <f ca="1">IFERROR(OFFSET(M154,-1,,1,1)+0.1,OFFSET(M154,-1,-1,1,1)&amp;".1")</f>
        <v>3.2</v>
      </c>
      <c r="N154" s="16" t="s">
        <v>248</v>
      </c>
      <c r="O154" s="16" t="s">
        <v>249</v>
      </c>
      <c r="P154" s="179">
        <v>0.1</v>
      </c>
      <c r="Q154" s="100">
        <f>Total_Test_Cases * P154</f>
        <v>37.5</v>
      </c>
      <c r="R154" s="95"/>
      <c r="S154" s="230">
        <f>CEILING((IF(J154="Yes", 0, IF(H154="-",AA154,AA154+AA154*VLOOKUP(H154,BUFFERS_BY_TYPE,2,FALSE)))) +
   (IF(J154="Yes", 0, IF(H154="-",AA154,AA154+AA154*VLOOKUP(H154,BUFFERS_BY_TYPE,2,FALSE))))*VLOOKUP($S$5, SALES_CALL_SCALE_ARRAY, 2,FALSE),0.25)</f>
        <v>3.75</v>
      </c>
      <c r="T154" s="116"/>
      <c r="U154" s="17">
        <v>0</v>
      </c>
      <c r="V154" s="17">
        <v>1</v>
      </c>
      <c r="W154" s="17">
        <v>0</v>
      </c>
      <c r="X154" s="115">
        <v>0.1</v>
      </c>
      <c r="Y154" s="230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3.75</v>
      </c>
      <c r="Z154" s="18"/>
      <c r="AA154" s="230">
        <f>Y154+Y154*VLOOKUP(I154,EXTRAS_ARRAY,2,FALSE)</f>
        <v>3.75</v>
      </c>
      <c r="AB154" s="16" t="s">
        <v>250</v>
      </c>
      <c r="AC154" s="29"/>
      <c r="AD154" s="226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6" customFormat="1" ht="7.5" hidden="1" customHeight="1" outlineLevel="2" x14ac:dyDescent="0.2">
      <c r="A155" s="212" t="s">
        <v>68</v>
      </c>
      <c r="B155" s="12"/>
      <c r="C155" s="56"/>
      <c r="D155" s="56"/>
      <c r="E155" s="56"/>
      <c r="F155" s="56"/>
      <c r="M155" s="180"/>
      <c r="T155" s="12"/>
      <c r="X155" s="12"/>
      <c r="AB155" s="7"/>
      <c r="AC155" s="7"/>
      <c r="AD155" s="7"/>
    </row>
    <row r="156" spans="1:30" s="11" customFormat="1" ht="15.5" customHeight="1" outlineLevel="1" collapsed="1" x14ac:dyDescent="0.2">
      <c r="A156" s="212" t="s">
        <v>52</v>
      </c>
      <c r="B156" s="14"/>
      <c r="C156" s="61"/>
      <c r="D156" s="61"/>
      <c r="E156" s="61"/>
      <c r="F156" s="60"/>
      <c r="G156" s="24"/>
      <c r="H156" s="24"/>
      <c r="I156" s="24"/>
      <c r="J156" s="24"/>
      <c r="K156" s="24"/>
      <c r="L156" s="223">
        <f ca="1">LOOKUP(1000,INDIRECT("L1:"&amp;CELL("address",INDIRECT("R[-1]C",FALSE))))+1</f>
        <v>4</v>
      </c>
      <c r="M156" s="299" t="s">
        <v>251</v>
      </c>
      <c r="N156" s="294"/>
      <c r="O156" s="4"/>
      <c r="P156" s="25"/>
      <c r="Q156" s="25"/>
      <c r="R156" s="25"/>
      <c r="S156" s="25"/>
      <c r="T156" s="225">
        <f>IF($S$6="Exclude", SUMIFS(S157:S162, J157:J162, "&lt;&gt;Yes", G157:G162, "&lt;&gt;Yes"), SUMIFS(S157:S162, J157:J162, "&lt;&gt;Yes"))</f>
        <v>22</v>
      </c>
      <c r="U156" s="25"/>
      <c r="V156" s="25"/>
      <c r="W156" s="25"/>
      <c r="X156" s="26"/>
      <c r="Y156" s="27"/>
      <c r="Z156" s="27"/>
      <c r="AA156" s="27"/>
      <c r="AB156" s="155"/>
      <c r="AC156" s="28"/>
      <c r="AD156" s="226" t="str">
        <f>IF(M156="", "Error: Task name cannot be empty.", "")</f>
        <v/>
      </c>
    </row>
    <row r="157" spans="1:30" s="9" customFormat="1" ht="1.5" hidden="1" customHeight="1" outlineLevel="2" x14ac:dyDescent="0.2">
      <c r="A157" s="212" t="s">
        <v>54</v>
      </c>
      <c r="B157" s="14"/>
      <c r="C157" s="61"/>
      <c r="D157" s="61"/>
      <c r="E157" s="61"/>
      <c r="F157" s="60"/>
      <c r="G157" s="24"/>
      <c r="H157" s="24"/>
      <c r="I157" s="24"/>
      <c r="J157" s="24"/>
      <c r="K157" s="24"/>
      <c r="L157" s="227">
        <f ca="1">L156</f>
        <v>4</v>
      </c>
      <c r="M157" s="228" t="s">
        <v>55</v>
      </c>
      <c r="N157" s="118"/>
      <c r="O157" s="119"/>
      <c r="P157" s="25"/>
      <c r="Q157" s="25"/>
      <c r="R157" s="25"/>
      <c r="S157" s="25"/>
      <c r="T157" s="114"/>
      <c r="U157" s="25"/>
      <c r="V157" s="25"/>
      <c r="W157" s="25"/>
      <c r="X157" s="26"/>
      <c r="Y157" s="27"/>
      <c r="Z157" s="27"/>
      <c r="AA157" s="27"/>
      <c r="AB157" s="28"/>
      <c r="AC157" s="28"/>
      <c r="AD157" s="19"/>
    </row>
    <row r="158" spans="1:30" ht="43.5" hidden="1" customHeight="1" outlineLevel="2" x14ac:dyDescent="0.2">
      <c r="A158" s="212" t="s">
        <v>49</v>
      </c>
      <c r="B158" s="14"/>
      <c r="C158" s="62"/>
      <c r="D158" s="62"/>
      <c r="E158" s="62"/>
      <c r="F158" s="63"/>
      <c r="G158" s="15" t="s">
        <v>57</v>
      </c>
      <c r="H158" s="15" t="s">
        <v>57</v>
      </c>
      <c r="I158" s="16" t="s">
        <v>57</v>
      </c>
      <c r="J158" s="15" t="s">
        <v>57</v>
      </c>
      <c r="K158" s="30"/>
      <c r="L158" s="15"/>
      <c r="M158" s="229" t="str">
        <f ca="1">IFERROR(OFFSET(M158,-1,,1,1)+0.1,OFFSET(M158,-1,-1,1,1)&amp;".1")</f>
        <v>4.1</v>
      </c>
      <c r="N158" s="16" t="s">
        <v>252</v>
      </c>
      <c r="O158" s="16"/>
      <c r="P158" s="16" t="s">
        <v>253</v>
      </c>
      <c r="Q158" s="100">
        <v>2</v>
      </c>
      <c r="R158" s="95"/>
      <c r="S158" s="230">
        <f>CEILING((IF(J158="Yes", 0, IF(H158="-",AA158,AA158+AA158*VLOOKUP(H158,BUFFERS_BY_TYPE,2,FALSE)))) +
   (IF(J158="Yes", 0, IF(H158="-",AA158,AA158+AA158*VLOOKUP(H158,BUFFERS_BY_TYPE,2,FALSE))))*VLOOKUP($S$5, SALES_CALL_SCALE_ARRAY, 2,FALSE),0.25)</f>
        <v>2</v>
      </c>
      <c r="T158" s="116"/>
      <c r="U158" s="17">
        <v>0</v>
      </c>
      <c r="V158" s="17">
        <v>1</v>
      </c>
      <c r="W158" s="17">
        <v>0</v>
      </c>
      <c r="X158" s="115">
        <v>1</v>
      </c>
      <c r="Y158" s="230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2</v>
      </c>
      <c r="Z158" s="18"/>
      <c r="AA158" s="230">
        <f>Y158+Y158*VLOOKUP(I158,EXTRAS_ARRAY,2,FALSE)</f>
        <v>2</v>
      </c>
      <c r="AB158" s="16" t="s">
        <v>254</v>
      </c>
      <c r="AC158" s="29"/>
      <c r="AD158" s="226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29" hidden="1" customHeight="1" outlineLevel="2" x14ac:dyDescent="0.2">
      <c r="A159" s="212" t="s">
        <v>49</v>
      </c>
      <c r="B159" s="14"/>
      <c r="C159" s="62"/>
      <c r="D159" s="62"/>
      <c r="E159" s="62"/>
      <c r="F159" s="63"/>
      <c r="G159" s="15" t="s">
        <v>57</v>
      </c>
      <c r="H159" s="15" t="s">
        <v>57</v>
      </c>
      <c r="I159" s="16" t="s">
        <v>57</v>
      </c>
      <c r="J159" s="15" t="s">
        <v>57</v>
      </c>
      <c r="K159" s="30"/>
      <c r="L159" s="15"/>
      <c r="M159" s="229">
        <f ca="1">IFERROR(OFFSET(M159,-1,,1,1)+0.1,OFFSET(M159,-1,-1,1,1)&amp;".1")</f>
        <v>4.1999999999999993</v>
      </c>
      <c r="N159" s="16" t="s">
        <v>255</v>
      </c>
      <c r="O159" s="16"/>
      <c r="P159" s="16" t="s">
        <v>256</v>
      </c>
      <c r="Q159" s="100">
        <f>Total_Test_Cases * 15%</f>
        <v>56.25</v>
      </c>
      <c r="R159" s="95"/>
      <c r="S159" s="230">
        <f>CEILING((IF(J159="Yes", 0, IF(H159="-",AA159,AA159+AA159*VLOOKUP(H159,BUFFERS_BY_TYPE,2,FALSE)))) +
   (IF(J159="Yes", 0, IF(H159="-",AA159,AA159+AA159*VLOOKUP(H159,BUFFERS_BY_TYPE,2,FALSE))))*VLOOKUP($S$5, SALES_CALL_SCALE_ARRAY, 2,FALSE),0.25)</f>
        <v>14.25</v>
      </c>
      <c r="T159" s="116"/>
      <c r="U159" s="17">
        <v>0</v>
      </c>
      <c r="V159" s="17">
        <v>1</v>
      </c>
      <c r="W159" s="17">
        <v>0</v>
      </c>
      <c r="X159" s="115">
        <f>2/8</f>
        <v>0.25</v>
      </c>
      <c r="Y159" s="230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14.25</v>
      </c>
      <c r="Z159" s="18"/>
      <c r="AA159" s="230">
        <f>Y159+Y159*VLOOKUP(I159,EXTRAS_ARRAY,2,FALSE)</f>
        <v>14.25</v>
      </c>
      <c r="AB159" s="16" t="s">
        <v>257</v>
      </c>
      <c r="AC159" s="29"/>
      <c r="AD159" s="226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customHeight="1" outlineLevel="2" x14ac:dyDescent="0.2">
      <c r="A160" s="212" t="s">
        <v>49</v>
      </c>
      <c r="B160" s="14"/>
      <c r="C160" s="62"/>
      <c r="D160" s="62"/>
      <c r="E160" s="62"/>
      <c r="F160" s="63"/>
      <c r="G160" s="15" t="s">
        <v>57</v>
      </c>
      <c r="H160" s="15" t="s">
        <v>57</v>
      </c>
      <c r="I160" s="16" t="s">
        <v>57</v>
      </c>
      <c r="J160" s="15" t="s">
        <v>57</v>
      </c>
      <c r="K160" s="30"/>
      <c r="L160" s="15"/>
      <c r="M160" s="229">
        <f ca="1">IFERROR(OFFSET(M160,-1,,1,1)+0.1,OFFSET(M160,-1,-1,1,1)&amp;".1")</f>
        <v>4.2999999999999989</v>
      </c>
      <c r="N160" s="16" t="s">
        <v>258</v>
      </c>
      <c r="O160" s="16"/>
      <c r="P160" s="16" t="s">
        <v>256</v>
      </c>
      <c r="Q160" s="100">
        <f>Total_Test_Cases * 15%</f>
        <v>56.25</v>
      </c>
      <c r="R160" s="95">
        <v>3</v>
      </c>
      <c r="S160" s="230">
        <f>CEILING((IF(J160="Yes", 0, IF(H160="-",AA160,AA160+AA160*VLOOKUP(H160,BUFFERS_BY_TYPE,2,FALSE)))) +
   (IF(J160="Yes", 0, IF(H160="-",AA160,AA160+AA160*VLOOKUP(H160,BUFFERS_BY_TYPE,2,FALSE))))*VLOOKUP($S$5, SALES_CALL_SCALE_ARRAY, 2,FALSE),0.25)</f>
        <v>3.75</v>
      </c>
      <c r="T160" s="116"/>
      <c r="U160" s="17">
        <v>0</v>
      </c>
      <c r="V160" s="17">
        <v>1</v>
      </c>
      <c r="W160" s="17">
        <v>0</v>
      </c>
      <c r="X160" s="115">
        <f>10/60/8</f>
        <v>2.0833333333333332E-2</v>
      </c>
      <c r="Y160" s="230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3.75</v>
      </c>
      <c r="Z160" s="18"/>
      <c r="AA160" s="230">
        <f>Y160+Y160*VLOOKUP(I160,EXTRAS_ARRAY,2,FALSE)</f>
        <v>3.75</v>
      </c>
      <c r="AB160" s="16" t="s">
        <v>259</v>
      </c>
      <c r="AC160" s="29"/>
      <c r="AD160" s="226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43.5" hidden="1" customHeight="1" outlineLevel="2" x14ac:dyDescent="0.2">
      <c r="A161" s="212" t="s">
        <v>49</v>
      </c>
      <c r="B161" s="14"/>
      <c r="C161" s="62"/>
      <c r="D161" s="62"/>
      <c r="E161" s="62"/>
      <c r="F161" s="63"/>
      <c r="G161" s="15" t="s">
        <v>57</v>
      </c>
      <c r="H161" s="15" t="s">
        <v>57</v>
      </c>
      <c r="I161" s="16" t="s">
        <v>57</v>
      </c>
      <c r="J161" s="15" t="s">
        <v>57</v>
      </c>
      <c r="K161" s="30"/>
      <c r="L161" s="15"/>
      <c r="M161" s="229">
        <f ca="1">IFERROR(OFFSET(M161,-1,,1,1)+0.1,OFFSET(M161,-1,-1,1,1)&amp;".1")</f>
        <v>4.3999999999999986</v>
      </c>
      <c r="N161" s="16" t="s">
        <v>260</v>
      </c>
      <c r="O161" s="16"/>
      <c r="P161" s="16"/>
      <c r="Q161" s="100">
        <v>1</v>
      </c>
      <c r="R161" s="95"/>
      <c r="S161" s="230">
        <f>CEILING((IF(J161="Yes", 0, IF(H161="-",AA161,AA161+AA161*VLOOKUP(H161,BUFFERS_BY_TYPE,2,FALSE)))) +
   (IF(J161="Yes", 0, IF(H161="-",AA161,AA161+AA161*VLOOKUP(H161,BUFFERS_BY_TYPE,2,FALSE))))*VLOOKUP($S$5, SALES_CALL_SCALE_ARRAY, 2,FALSE),0.25)</f>
        <v>2</v>
      </c>
      <c r="T161" s="116"/>
      <c r="U161" s="17">
        <v>0</v>
      </c>
      <c r="V161" s="17">
        <v>1</v>
      </c>
      <c r="W161" s="17">
        <v>0</v>
      </c>
      <c r="X161" s="115">
        <v>2</v>
      </c>
      <c r="Y161" s="230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2</v>
      </c>
      <c r="Z161" s="18"/>
      <c r="AA161" s="230">
        <f>Y161+Y161*VLOOKUP(I161,EXTRAS_ARRAY,2,FALSE)</f>
        <v>2</v>
      </c>
      <c r="AB161" s="16" t="s">
        <v>261</v>
      </c>
      <c r="AC161" s="29"/>
      <c r="AD161" s="226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s="6" customFormat="1" ht="7.5" hidden="1" customHeight="1" outlineLevel="2" x14ac:dyDescent="0.2">
      <c r="A162" s="212" t="s">
        <v>68</v>
      </c>
      <c r="B162" s="12"/>
      <c r="C162" s="56"/>
      <c r="D162" s="56"/>
      <c r="E162" s="56"/>
      <c r="F162" s="56"/>
      <c r="M162" s="180"/>
      <c r="T162" s="12"/>
      <c r="X162" s="12"/>
      <c r="AB162" s="7"/>
      <c r="AC162" s="7"/>
      <c r="AD162" s="7"/>
    </row>
    <row r="163" spans="1:30" s="11" customFormat="1" ht="15.5" customHeight="1" outlineLevel="1" collapsed="1" x14ac:dyDescent="0.2">
      <c r="A163" s="212" t="s">
        <v>52</v>
      </c>
      <c r="B163" s="14"/>
      <c r="C163" s="61"/>
      <c r="D163" s="61"/>
      <c r="E163" s="61"/>
      <c r="F163" s="60"/>
      <c r="G163" s="24"/>
      <c r="H163" s="24"/>
      <c r="I163" s="24"/>
      <c r="J163" s="24"/>
      <c r="K163" s="24"/>
      <c r="L163" s="223">
        <f ca="1">LOOKUP(1000,INDIRECT("L1:"&amp;CELL("address",INDIRECT("R[-1]C",FALSE))))+1</f>
        <v>5</v>
      </c>
      <c r="M163" s="299" t="s">
        <v>262</v>
      </c>
      <c r="N163" s="294"/>
      <c r="O163" s="4"/>
      <c r="P163" s="25"/>
      <c r="Q163" s="25"/>
      <c r="R163" s="25"/>
      <c r="S163" s="25"/>
      <c r="T163" s="225">
        <f>IF($S$6="Exclude", SUMIFS(S164:S171, J164:J171, "&lt;&gt;Yes", G164:G171, "&lt;&gt;Yes"), SUMIFS(S164:S171, J164:J171, "&lt;&gt;Yes"))</f>
        <v>22.25</v>
      </c>
      <c r="U163" s="25"/>
      <c r="V163" s="25"/>
      <c r="W163" s="25"/>
      <c r="X163" s="26"/>
      <c r="Y163" s="27"/>
      <c r="Z163" s="27"/>
      <c r="AA163" s="27"/>
      <c r="AB163" s="155"/>
      <c r="AC163" s="28"/>
      <c r="AD163" s="226" t="str">
        <f>IF(M163="", "Error: Task name cannot be empty.", "")</f>
        <v/>
      </c>
    </row>
    <row r="164" spans="1:30" s="9" customFormat="1" ht="1.5" hidden="1" customHeight="1" outlineLevel="2" x14ac:dyDescent="0.2">
      <c r="A164" s="212" t="s">
        <v>54</v>
      </c>
      <c r="B164" s="14"/>
      <c r="C164" s="61"/>
      <c r="D164" s="61"/>
      <c r="E164" s="61"/>
      <c r="F164" s="60"/>
      <c r="G164" s="24"/>
      <c r="H164" s="24"/>
      <c r="I164" s="24"/>
      <c r="J164" s="24"/>
      <c r="K164" s="24"/>
      <c r="L164" s="227">
        <f ca="1">L163</f>
        <v>5</v>
      </c>
      <c r="M164" s="228" t="s">
        <v>55</v>
      </c>
      <c r="N164" s="118"/>
      <c r="O164" s="119"/>
      <c r="P164" s="25"/>
      <c r="Q164" s="25"/>
      <c r="R164" s="25"/>
      <c r="S164" s="25"/>
      <c r="T164" s="114"/>
      <c r="U164" s="25"/>
      <c r="V164" s="25"/>
      <c r="W164" s="25"/>
      <c r="X164" s="26"/>
      <c r="Y164" s="27"/>
      <c r="Z164" s="27"/>
      <c r="AA164" s="27"/>
      <c r="AB164" s="28"/>
      <c r="AC164" s="28"/>
      <c r="AD164" s="19"/>
    </row>
    <row r="165" spans="1:30" ht="43.5" hidden="1" customHeight="1" outlineLevel="2" x14ac:dyDescent="0.2">
      <c r="A165" s="212" t="s">
        <v>49</v>
      </c>
      <c r="B165" s="14"/>
      <c r="C165" s="62"/>
      <c r="D165" s="62"/>
      <c r="E165" s="62"/>
      <c r="F165" s="63"/>
      <c r="G165" s="15" t="s">
        <v>57</v>
      </c>
      <c r="H165" s="15" t="s">
        <v>57</v>
      </c>
      <c r="I165" s="16" t="s">
        <v>57</v>
      </c>
      <c r="J165" s="15" t="s">
        <v>57</v>
      </c>
      <c r="K165" s="30"/>
      <c r="L165" s="15"/>
      <c r="M165" s="229" t="str">
        <f t="shared" ref="M165:M170" ca="1" si="8">IFERROR(OFFSET(M165,-1,,1,1)+0.1,OFFSET(M165,-1,-1,1,1)&amp;".1")</f>
        <v>5.1</v>
      </c>
      <c r="N165" s="16" t="s">
        <v>263</v>
      </c>
      <c r="O165" s="16"/>
      <c r="P165" s="16" t="s">
        <v>264</v>
      </c>
      <c r="Q165" s="100"/>
      <c r="R165" s="95">
        <f>Total_Screens</f>
        <v>14</v>
      </c>
      <c r="S165" s="230">
        <f>CEILING((IF(J165="Yes", 0, IF(H165="-",AA165,AA165+AA165*VLOOKUP(H165,BUFFERS_BY_TYPE,2,FALSE)))) +
   (IF(J165="Yes", 0, IF(H165="-",AA165,AA165+AA165*VLOOKUP(H165,BUFFERS_BY_TYPE,2,FALSE))))*VLOOKUP($S$5, SALES_CALL_SCALE_ARRAY, 2,FALSE),0.25)</f>
        <v>0.25</v>
      </c>
      <c r="T165" s="116"/>
      <c r="U165" s="17">
        <v>0</v>
      </c>
      <c r="V165" s="17">
        <v>1</v>
      </c>
      <c r="W165" s="17">
        <v>0</v>
      </c>
      <c r="X165" s="115">
        <v>0.25</v>
      </c>
      <c r="Y165" s="230">
        <f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>0.25</v>
      </c>
      <c r="Z165" s="18"/>
      <c r="AA165" s="230">
        <f t="shared" ref="AA165:AA170" si="9">Y165+Y165*VLOOKUP(I165,EXTRAS_ARRAY,2,FALSE)</f>
        <v>0.25</v>
      </c>
      <c r="AB165" s="16" t="s">
        <v>265</v>
      </c>
      <c r="AC165" s="29"/>
      <c r="AD165" s="226" t="str">
        <f t="shared" ref="AD165:AD170" si="10"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/>
      </c>
    </row>
    <row r="166" spans="1:30" ht="43.5" hidden="1" customHeight="1" outlineLevel="2" x14ac:dyDescent="0.2">
      <c r="A166" s="212" t="s">
        <v>49</v>
      </c>
      <c r="B166" s="14"/>
      <c r="C166" s="62"/>
      <c r="D166" s="62"/>
      <c r="E166" s="62"/>
      <c r="F166" s="63"/>
      <c r="G166" s="15" t="s">
        <v>57</v>
      </c>
      <c r="H166" s="15" t="s">
        <v>57</v>
      </c>
      <c r="I166" s="16" t="s">
        <v>57</v>
      </c>
      <c r="J166" s="15" t="s">
        <v>56</v>
      </c>
      <c r="K166" s="30"/>
      <c r="L166" s="15"/>
      <c r="M166" s="229">
        <f t="shared" ca="1" si="8"/>
        <v>5.1999999999999993</v>
      </c>
      <c r="N166" s="16" t="s">
        <v>266</v>
      </c>
      <c r="O166" s="16"/>
      <c r="P166" s="16"/>
      <c r="Q166" s="100"/>
      <c r="R166" s="95"/>
      <c r="S166" s="230">
        <f>CEILING((IF(J166="Yes", 0, IF(H166="-",AA166,AA166+AA166*VLOOKUP(H166,BUFFERS_BY_TYPE,2,FALSE)))) +
(IF(J166="Yes", 0, IF(H166="-",AA166,AA166+AA166*VLOOKUP(H166,BUFFERS_BY_TYPE,2,FALSE))))*VLOOKUP($S$5, SALES_CALL_SCALE_ARRAY, 2,FALSE),0.25)</f>
        <v>0</v>
      </c>
      <c r="T166" s="116"/>
      <c r="U166" s="17">
        <v>0</v>
      </c>
      <c r="V166" s="17">
        <v>1</v>
      </c>
      <c r="W166" s="17">
        <v>0</v>
      </c>
      <c r="X166" s="115"/>
      <c r="Y166" s="230">
        <f>CEILING((IF(P166=AS_DEV_EFFORT, DEV_EFFORT*Q166%,
IF(P166=AS_DURATION_EFFORT, (MANUAL_DURATION*5)*Q166%,
(IF(Q166&lt;=1,X166,
IF(SUM(U166:W166)=0,(Q166*X166),
(((Q166*U166)*(X166+(X166*EXTRA_FOR_H)))+
((Q166*V166)*X166)+
((Q166*W166)*(X166-(X166*LESS_FOR_L)))
)*IF(R166=0,1,R166))))))+Z166), 0.25)</f>
        <v>0</v>
      </c>
      <c r="Z166" s="18"/>
      <c r="AA166" s="230">
        <f t="shared" si="9"/>
        <v>0</v>
      </c>
      <c r="AB166" s="16" t="s">
        <v>267</v>
      </c>
      <c r="AC166" s="29"/>
      <c r="AD166" s="226" t="b">
        <f t="shared" si="10"/>
        <v>0</v>
      </c>
    </row>
    <row r="167" spans="1:30" ht="43.5" hidden="1" customHeight="1" outlineLevel="2" x14ac:dyDescent="0.2">
      <c r="A167" s="212" t="s">
        <v>49</v>
      </c>
      <c r="B167" s="14"/>
      <c r="C167" s="62"/>
      <c r="D167" s="62"/>
      <c r="E167" s="62"/>
      <c r="F167" s="63"/>
      <c r="G167" s="15" t="s">
        <v>57</v>
      </c>
      <c r="H167" s="15" t="s">
        <v>57</v>
      </c>
      <c r="I167" s="16" t="s">
        <v>57</v>
      </c>
      <c r="J167" s="15" t="s">
        <v>57</v>
      </c>
      <c r="K167" s="30"/>
      <c r="L167" s="15"/>
      <c r="M167" s="229">
        <f t="shared" ca="1" si="8"/>
        <v>5.2999999999999989</v>
      </c>
      <c r="N167" s="16" t="s">
        <v>268</v>
      </c>
      <c r="O167" s="16"/>
      <c r="P167" s="16" t="s">
        <v>269</v>
      </c>
      <c r="Q167" s="100"/>
      <c r="R167" s="95">
        <f>Total_Screens</f>
        <v>14</v>
      </c>
      <c r="S167" s="230">
        <f>CEILING((IF(J167="Yes", 0, IF(H167="-",AA167,AA167+AA167*VLOOKUP(H167,BUFFERS_BY_TYPE,2,FALSE)))) +
(IF(J167="Yes", 0, IF(H167="-",AA167,AA167+AA167*VLOOKUP(H167,BUFFERS_BY_TYPE,2,FALSE))))*VLOOKUP($S$5, SALES_CALL_SCALE_ARRAY, 2,FALSE),0.25)</f>
        <v>0.5</v>
      </c>
      <c r="T167" s="116"/>
      <c r="U167" s="17">
        <v>0</v>
      </c>
      <c r="V167" s="17">
        <v>1</v>
      </c>
      <c r="W167" s="17">
        <v>0</v>
      </c>
      <c r="X167" s="115">
        <v>0.3</v>
      </c>
      <c r="Y167" s="230">
        <f>CEILING((IF(P167=AS_DEV_EFFORT, DEV_EFFORT*Q167%,
IF(P167=AS_DURATION_EFFORT, (MANUAL_DURATION*5)*Q167%,
(IF(Q167&lt;=1,X167,
IF(SUM(U167:W167)=0,(Q167*X167),
(((Q167*U167)*(X167+(X167*EXTRA_FOR_H)))+
((Q167*V167)*X167)+
((Q167*W167)*(X167-(X167*LESS_FOR_L)))
)*IF(R167=0,1,R167))))))+Z167), 0.25)</f>
        <v>0.5</v>
      </c>
      <c r="Z167" s="18"/>
      <c r="AA167" s="230">
        <f t="shared" si="9"/>
        <v>0.5</v>
      </c>
      <c r="AB167" s="16" t="s">
        <v>270</v>
      </c>
      <c r="AC167" s="29"/>
      <c r="AD167" s="226" t="str">
        <f t="shared" si="10"/>
        <v/>
      </c>
    </row>
    <row r="168" spans="1:30" ht="43.5" hidden="1" customHeight="1" outlineLevel="2" x14ac:dyDescent="0.2">
      <c r="A168" s="212" t="s">
        <v>49</v>
      </c>
      <c r="B168" s="14"/>
      <c r="C168" s="62"/>
      <c r="D168" s="62"/>
      <c r="E168" s="62"/>
      <c r="F168" s="63"/>
      <c r="G168" s="15" t="s">
        <v>57</v>
      </c>
      <c r="H168" s="15" t="s">
        <v>57</v>
      </c>
      <c r="I168" s="16" t="s">
        <v>57</v>
      </c>
      <c r="J168" s="15" t="s">
        <v>57</v>
      </c>
      <c r="K168" s="30"/>
      <c r="L168" s="15"/>
      <c r="M168" s="229">
        <f t="shared" ca="1" si="8"/>
        <v>5.3999999999999986</v>
      </c>
      <c r="N168" s="16" t="s">
        <v>271</v>
      </c>
      <c r="O168" s="16"/>
      <c r="P168" s="16" t="s">
        <v>272</v>
      </c>
      <c r="Q168" s="100"/>
      <c r="R168" s="95">
        <f>Total_Screens</f>
        <v>14</v>
      </c>
      <c r="S168" s="230">
        <f>CEILING((IF(J168="Yes", 0, IF(H168="-",AA168,AA168+AA168*VLOOKUP(H168,BUFFERS_BY_TYPE,2,FALSE)))) +
(IF(J168="Yes", 0, IF(H168="-",AA168,AA168+AA168*VLOOKUP(H168,BUFFERS_BY_TYPE,2,FALSE))))*VLOOKUP($S$5, SALES_CALL_SCALE_ARRAY, 2,FALSE),0.25)</f>
        <v>0.5</v>
      </c>
      <c r="T168" s="116"/>
      <c r="U168" s="17">
        <v>0</v>
      </c>
      <c r="V168" s="17">
        <v>1</v>
      </c>
      <c r="W168" s="17">
        <v>0</v>
      </c>
      <c r="X168" s="115">
        <v>0.3</v>
      </c>
      <c r="Y168" s="230">
        <f>CEILING((IF(P168=AS_DEV_EFFORT, DEV_EFFORT*Q168%,
IF(P168=AS_DURATION_EFFORT, (MANUAL_DURATION*5)*Q168%,
(IF(Q168&lt;=1,X168,
IF(SUM(U168:W168)=0,(Q168*X168),
(((Q168*U168)*(X168+(X168*EXTRA_FOR_H)))+
((Q168*V168)*X168)+
((Q168*W168)*(X168-(X168*LESS_FOR_L)))
)*IF(R168=0,1,R168))))))+Z168), 0.25)</f>
        <v>0.5</v>
      </c>
      <c r="Z168" s="18"/>
      <c r="AA168" s="230">
        <f t="shared" si="9"/>
        <v>0.5</v>
      </c>
      <c r="AB168" s="16" t="s">
        <v>273</v>
      </c>
      <c r="AC168" s="29"/>
      <c r="AD168" s="226" t="str">
        <f t="shared" si="10"/>
        <v/>
      </c>
    </row>
    <row r="169" spans="1:30" ht="43.5" hidden="1" customHeight="1" outlineLevel="2" x14ac:dyDescent="0.2">
      <c r="A169" s="212" t="s">
        <v>49</v>
      </c>
      <c r="B169" s="14"/>
      <c r="C169" s="62"/>
      <c r="D169" s="62"/>
      <c r="E169" s="62"/>
      <c r="F169" s="63"/>
      <c r="G169" s="15" t="s">
        <v>56</v>
      </c>
      <c r="H169" s="15" t="s">
        <v>57</v>
      </c>
      <c r="I169" s="16" t="s">
        <v>57</v>
      </c>
      <c r="J169" s="15" t="s">
        <v>57</v>
      </c>
      <c r="K169" s="30"/>
      <c r="L169" s="15"/>
      <c r="M169" s="229">
        <f t="shared" ca="1" si="8"/>
        <v>5.4999999999999982</v>
      </c>
      <c r="N169" s="16" t="s">
        <v>274</v>
      </c>
      <c r="O169" s="16"/>
      <c r="P169" s="16" t="s">
        <v>118</v>
      </c>
      <c r="Q169" s="100">
        <v>14</v>
      </c>
      <c r="R169" s="95"/>
      <c r="S169" s="230">
        <f>CEILING((IF(J169="Yes", 0, IF(H169="-",AA169,AA169+AA169*VLOOKUP(H169,BUFFERS_BY_TYPE,2,FALSE)))) +
(IF(J169="Yes", 0, IF(H169="-",AA169,AA169+AA169*VLOOKUP(H169,BUFFERS_BY_TYPE,2,FALSE))))*VLOOKUP($S$5, SALES_CALL_SCALE_ARRAY, 2,FALSE),0.25)</f>
        <v>7</v>
      </c>
      <c r="T169" s="116"/>
      <c r="U169" s="17">
        <v>0</v>
      </c>
      <c r="V169" s="17">
        <v>1</v>
      </c>
      <c r="W169" s="17">
        <v>0</v>
      </c>
      <c r="X169" s="115">
        <v>0.5</v>
      </c>
      <c r="Y169" s="230">
        <f>CEILING((IF(P169=AS_DEV_EFFORT, DEV_EFFORT*Q169%,
IF(P169=AS_DURATION_EFFORT, (MANUAL_DURATION*5)*Q169%,
(IF(Q169&lt;=1,X169,
IF(SUM(U169:W169)=0,(Q169*X169),
(((Q169*U169)*(X169+(X169*EXTRA_FOR_H)))+
((Q169*V169)*X169)+
((Q169*W169)*(X169-(X169*LESS_FOR_L)))
)*IF(R169=0,1,R169))))))+Z169), 0.25)</f>
        <v>7</v>
      </c>
      <c r="Z169" s="18"/>
      <c r="AA169" s="230">
        <f t="shared" si="9"/>
        <v>7</v>
      </c>
      <c r="AB169" s="16" t="s">
        <v>275</v>
      </c>
      <c r="AC169" s="29"/>
      <c r="AD169" s="226" t="str">
        <f t="shared" si="10"/>
        <v/>
      </c>
    </row>
    <row r="170" spans="1:30" ht="43.5" hidden="1" customHeight="1" outlineLevel="2" x14ac:dyDescent="0.2">
      <c r="A170" s="212" t="s">
        <v>49</v>
      </c>
      <c r="B170" s="14"/>
      <c r="C170" s="62"/>
      <c r="D170" s="62"/>
      <c r="E170" s="62"/>
      <c r="F170" s="63"/>
      <c r="G170" s="15" t="s">
        <v>56</v>
      </c>
      <c r="H170" s="15" t="s">
        <v>57</v>
      </c>
      <c r="I170" s="16" t="s">
        <v>57</v>
      </c>
      <c r="J170" s="15" t="s">
        <v>57</v>
      </c>
      <c r="K170" s="30"/>
      <c r="L170" s="15"/>
      <c r="M170" s="229">
        <f t="shared" ca="1" si="8"/>
        <v>5.5999999999999979</v>
      </c>
      <c r="N170" s="16" t="s">
        <v>135</v>
      </c>
      <c r="O170" s="16"/>
      <c r="P170" s="16" t="s">
        <v>118</v>
      </c>
      <c r="Q170" s="100">
        <v>14</v>
      </c>
      <c r="R170" s="95"/>
      <c r="S170" s="230">
        <f>CEILING((IF(J170="Yes", 0, IF(H170="-",AA170,AA170+AA170*VLOOKUP(H170,BUFFERS_BY_TYPE,2,FALSE)))) +
(IF(J170="Yes", 0, IF(H170="-",AA170,AA170+AA170*VLOOKUP(H170,BUFFERS_BY_TYPE,2,FALSE))))*VLOOKUP($S$5, SALES_CALL_SCALE_ARRAY, 2,FALSE),0.25)</f>
        <v>14</v>
      </c>
      <c r="T170" s="116"/>
      <c r="U170" s="17">
        <v>0</v>
      </c>
      <c r="V170" s="17">
        <v>1</v>
      </c>
      <c r="W170" s="17">
        <v>0</v>
      </c>
      <c r="X170" s="115">
        <v>1</v>
      </c>
      <c r="Y170" s="230">
        <f>CEILING((IF(P170=AS_DEV_EFFORT, DEV_EFFORT*Q170%,
IF(P170=AS_DURATION_EFFORT, (MANUAL_DURATION*5)*Q170%,
(IF(Q170&lt;=1,X170,
IF(SUM(U170:W170)=0,(Q170*X170),
(((Q170*U170)*(X170+(X170*EXTRA_FOR_H)))+
((Q170*V170)*X170)+
((Q170*W170)*(X170-(X170*LESS_FOR_L)))
)*IF(R170=0,1,R170))))))+Z170), 0.25)</f>
        <v>14</v>
      </c>
      <c r="Z170" s="18"/>
      <c r="AA170" s="230">
        <f t="shared" si="9"/>
        <v>14</v>
      </c>
      <c r="AB170" s="16" t="s">
        <v>276</v>
      </c>
      <c r="AC170" s="29"/>
      <c r="AD170" s="226" t="str">
        <f t="shared" si="10"/>
        <v/>
      </c>
    </row>
    <row r="171" spans="1:30" s="6" customFormat="1" ht="7.5" hidden="1" customHeight="1" outlineLevel="2" x14ac:dyDescent="0.2">
      <c r="A171" s="212" t="s">
        <v>68</v>
      </c>
      <c r="B171" s="12"/>
      <c r="C171" s="56"/>
      <c r="D171" s="56"/>
      <c r="E171" s="56"/>
      <c r="F171" s="56"/>
      <c r="M171" s="180"/>
      <c r="T171" s="12"/>
      <c r="X171" s="12"/>
      <c r="AB171" s="7"/>
      <c r="AC171" s="7"/>
      <c r="AD171" s="7"/>
    </row>
    <row r="172" spans="1:30" s="6" customFormat="1" ht="3" customHeight="1" outlineLevel="1" x14ac:dyDescent="0.2">
      <c r="A172" s="212" t="s">
        <v>141</v>
      </c>
      <c r="C172" s="56"/>
      <c r="D172" s="56"/>
      <c r="E172" s="56"/>
      <c r="F172" s="56"/>
      <c r="G172" s="21"/>
      <c r="H172" s="21"/>
      <c r="I172" s="21"/>
      <c r="J172" s="21"/>
      <c r="K172" s="21"/>
      <c r="L172" s="48"/>
      <c r="M172" s="189"/>
      <c r="N172" s="49"/>
      <c r="O172" s="49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9"/>
      <c r="AC172" s="49"/>
      <c r="AD172" s="7"/>
    </row>
    <row r="173" spans="1:30" s="11" customFormat="1" ht="18.5" customHeight="1" collapsed="1" x14ac:dyDescent="0.2">
      <c r="A173" s="212" t="s">
        <v>46</v>
      </c>
      <c r="B173" s="9"/>
      <c r="C173" s="57"/>
      <c r="D173" s="57"/>
      <c r="E173" s="57"/>
      <c r="F173" s="56"/>
      <c r="G173" s="44"/>
      <c r="H173" s="44"/>
      <c r="I173" s="44"/>
      <c r="J173" s="44"/>
      <c r="K173" s="44"/>
      <c r="L173" s="44" t="s">
        <v>277</v>
      </c>
      <c r="M173" s="187" t="s">
        <v>278</v>
      </c>
      <c r="N173" s="45"/>
      <c r="O173" s="46"/>
      <c r="P173" s="47"/>
      <c r="Q173" s="47"/>
      <c r="R173" s="47"/>
      <c r="S173" s="296">
        <f>CEILING(SUMIF(J174:J195, "&lt;&gt;Yes", T174:T195),1)</f>
        <v>22</v>
      </c>
      <c r="T173" s="294"/>
      <c r="U173" s="47"/>
      <c r="V173" s="47"/>
      <c r="W173" s="47"/>
      <c r="X173" s="47"/>
      <c r="Y173" s="47"/>
      <c r="Z173" s="47"/>
      <c r="AA173" s="47"/>
      <c r="AB173" s="47"/>
      <c r="AC173" s="47"/>
      <c r="AD173" s="10"/>
    </row>
    <row r="174" spans="1:30" s="6" customFormat="1" ht="3" hidden="1" customHeight="1" outlineLevel="1" x14ac:dyDescent="0.2">
      <c r="A174" s="212" t="s">
        <v>51</v>
      </c>
      <c r="B174" s="12"/>
      <c r="C174" s="56"/>
      <c r="D174" s="56"/>
      <c r="E174" s="56"/>
      <c r="F174" s="56"/>
      <c r="G174" s="21"/>
      <c r="H174" s="21"/>
      <c r="I174" s="21"/>
      <c r="J174" s="21"/>
      <c r="K174" s="21"/>
      <c r="L174" s="53">
        <v>0</v>
      </c>
      <c r="M174" s="188"/>
      <c r="N174" s="21"/>
      <c r="O174" s="21"/>
      <c r="P174" s="21"/>
      <c r="Q174" s="21"/>
      <c r="R174" s="21"/>
      <c r="S174" s="21"/>
      <c r="T174" s="22"/>
      <c r="U174" s="21"/>
      <c r="V174" s="21"/>
      <c r="W174" s="21"/>
      <c r="X174" s="22"/>
      <c r="Y174" s="21"/>
      <c r="Z174" s="21"/>
      <c r="AA174" s="21"/>
      <c r="AB174" s="23"/>
      <c r="AC174" s="23"/>
      <c r="AD174" s="7"/>
    </row>
    <row r="175" spans="1:30" s="11" customFormat="1" ht="15.5" hidden="1" customHeight="1" outlineLevel="1" x14ac:dyDescent="0.2">
      <c r="A175" s="212" t="s">
        <v>52</v>
      </c>
      <c r="B175" s="14"/>
      <c r="C175" s="61"/>
      <c r="D175" s="61"/>
      <c r="E175" s="61"/>
      <c r="F175" s="60"/>
      <c r="G175" s="24"/>
      <c r="H175" s="24"/>
      <c r="I175" s="24"/>
      <c r="J175" s="24"/>
      <c r="K175" s="24"/>
      <c r="L175" s="223">
        <f ca="1">LOOKUP(1000,INDIRECT("L1:"&amp;CELL("address",INDIRECT("R[-1]C",FALSE))))+1</f>
        <v>1</v>
      </c>
      <c r="M175" s="299" t="s">
        <v>279</v>
      </c>
      <c r="N175" s="294"/>
      <c r="O175" s="4"/>
      <c r="P175" s="25"/>
      <c r="Q175" s="25"/>
      <c r="R175" s="25"/>
      <c r="S175" s="25"/>
      <c r="T175" s="225">
        <f>IF($S$6="Exclude", SUMIFS(S176:S179, J176:J179, "&lt;&gt;Yes", G176:G179, "&lt;&gt;Yes"), SUMIFS(S176:S179, J176:J179, "&lt;&gt;Yes"))</f>
        <v>7.25</v>
      </c>
      <c r="U175" s="25"/>
      <c r="V175" s="25"/>
      <c r="W175" s="25"/>
      <c r="X175" s="26"/>
      <c r="Y175" s="27"/>
      <c r="Z175" s="27"/>
      <c r="AA175" s="27"/>
      <c r="AB175" s="155"/>
      <c r="AC175" s="28"/>
      <c r="AD175" s="226" t="str">
        <f>IF(M175="", "Error: Task name cannot be empty.", "")</f>
        <v/>
      </c>
    </row>
    <row r="176" spans="1:30" s="9" customFormat="1" ht="1.5" hidden="1" customHeight="1" outlineLevel="2" x14ac:dyDescent="0.2">
      <c r="A176" s="212" t="s">
        <v>54</v>
      </c>
      <c r="B176" s="14"/>
      <c r="C176" s="61"/>
      <c r="D176" s="61"/>
      <c r="E176" s="61"/>
      <c r="F176" s="60"/>
      <c r="G176" s="24"/>
      <c r="H176" s="24"/>
      <c r="I176" s="24"/>
      <c r="J176" s="24"/>
      <c r="K176" s="24"/>
      <c r="L176" s="227">
        <f ca="1">L175</f>
        <v>1</v>
      </c>
      <c r="M176" s="228" t="s">
        <v>55</v>
      </c>
      <c r="N176" s="118"/>
      <c r="O176" s="119"/>
      <c r="P176" s="25"/>
      <c r="Q176" s="25"/>
      <c r="R176" s="25"/>
      <c r="S176" s="25"/>
      <c r="T176" s="114"/>
      <c r="U176" s="25"/>
      <c r="V176" s="25"/>
      <c r="W176" s="25"/>
      <c r="X176" s="26"/>
      <c r="Y176" s="27"/>
      <c r="Z176" s="27"/>
      <c r="AA176" s="27"/>
      <c r="AB176" s="28"/>
      <c r="AC176" s="28"/>
      <c r="AD176" s="19"/>
    </row>
    <row r="177" spans="1:30" ht="43.5" hidden="1" customHeight="1" outlineLevel="2" x14ac:dyDescent="0.2">
      <c r="A177" s="212" t="s">
        <v>49</v>
      </c>
      <c r="B177" s="14"/>
      <c r="C177" s="62"/>
      <c r="D177" s="62"/>
      <c r="E177" s="62"/>
      <c r="F177" s="63"/>
      <c r="G177" s="15" t="s">
        <v>57</v>
      </c>
      <c r="H177" s="15" t="s">
        <v>57</v>
      </c>
      <c r="I177" s="16" t="s">
        <v>57</v>
      </c>
      <c r="J177" s="15" t="s">
        <v>57</v>
      </c>
      <c r="K177" s="30"/>
      <c r="L177" s="15"/>
      <c r="M177" s="229" t="str">
        <f ca="1">IFERROR(OFFSET(M177,-1,,1,1)+0.1,OFFSET(M177,-1,-1,1,1)&amp;".1")</f>
        <v>1.1</v>
      </c>
      <c r="N177" s="16" t="s">
        <v>280</v>
      </c>
      <c r="O177" s="16"/>
      <c r="P177" s="16" t="s">
        <v>281</v>
      </c>
      <c r="Q177" s="100">
        <v>8</v>
      </c>
      <c r="R177" s="95"/>
      <c r="S177" s="230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16"/>
      <c r="U177" s="17">
        <v>0</v>
      </c>
      <c r="V177" s="17">
        <v>1</v>
      </c>
      <c r="W177" s="17">
        <v>0</v>
      </c>
      <c r="X177" s="115">
        <v>0.5</v>
      </c>
      <c r="Y177" s="230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18"/>
      <c r="AA177" s="230">
        <f>Y177+Y177*VLOOKUP(I177,EXTRAS_ARRAY,2,FALSE)</f>
        <v>4</v>
      </c>
      <c r="AB177" s="16" t="s">
        <v>282</v>
      </c>
      <c r="AC177" s="29"/>
      <c r="AD177" s="226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43.5" hidden="1" customHeight="1" outlineLevel="2" x14ac:dyDescent="0.2">
      <c r="A178" s="212" t="s">
        <v>49</v>
      </c>
      <c r="B178" s="14"/>
      <c r="C178" s="62"/>
      <c r="D178" s="62"/>
      <c r="E178" s="62"/>
      <c r="F178" s="63"/>
      <c r="G178" s="15" t="s">
        <v>57</v>
      </c>
      <c r="H178" s="15" t="s">
        <v>57</v>
      </c>
      <c r="I178" s="16" t="s">
        <v>57</v>
      </c>
      <c r="J178" s="15" t="s">
        <v>57</v>
      </c>
      <c r="K178" s="30"/>
      <c r="L178" s="15"/>
      <c r="M178" s="229">
        <f ca="1">IFERROR(OFFSET(M178,-1,,1,1)+0.1,OFFSET(M178,-1,-1,1,1)&amp;".1")</f>
        <v>1.2000000000000002</v>
      </c>
      <c r="N178" s="16" t="s">
        <v>283</v>
      </c>
      <c r="O178" s="16"/>
      <c r="P178" s="16" t="s">
        <v>284</v>
      </c>
      <c r="Q178" s="100">
        <v>8</v>
      </c>
      <c r="R178" s="95"/>
      <c r="S178" s="230">
        <f>CEILING((IF(J178="Yes", 0, IF(H178="-",AA178,AA178+AA178*VLOOKUP(H178,BUFFERS_BY_TYPE,2,FALSE)))) +
   (IF(J178="Yes", 0, IF(H178="-",AA178,AA178+AA178*VLOOKUP(H178,BUFFERS_BY_TYPE,2,FALSE))))*VLOOKUP($S$5, SALES_CALL_SCALE_ARRAY, 2,FALSE),0.25)</f>
        <v>3.25</v>
      </c>
      <c r="T178" s="116"/>
      <c r="U178" s="17">
        <v>0</v>
      </c>
      <c r="V178" s="17">
        <v>1</v>
      </c>
      <c r="W178" s="17">
        <v>0</v>
      </c>
      <c r="X178" s="115">
        <v>0.4</v>
      </c>
      <c r="Y178" s="230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3.25</v>
      </c>
      <c r="Z178" s="18"/>
      <c r="AA178" s="230">
        <f>Y178+Y178*VLOOKUP(I178,EXTRAS_ARRAY,2,FALSE)</f>
        <v>3.25</v>
      </c>
      <c r="AB178" s="16" t="s">
        <v>285</v>
      </c>
      <c r="AC178" s="29"/>
      <c r="AD178" s="226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s="6" customFormat="1" ht="7.5" hidden="1" customHeight="1" outlineLevel="2" x14ac:dyDescent="0.2">
      <c r="A179" s="212" t="s">
        <v>68</v>
      </c>
      <c r="B179" s="12"/>
      <c r="C179" s="56"/>
      <c r="D179" s="56"/>
      <c r="E179" s="56"/>
      <c r="F179" s="56"/>
      <c r="M179" s="180"/>
      <c r="T179" s="12"/>
      <c r="X179" s="12"/>
      <c r="AB179" s="7"/>
      <c r="AC179" s="7"/>
      <c r="AD179" s="7"/>
    </row>
    <row r="180" spans="1:30" s="11" customFormat="1" ht="15.5" hidden="1" customHeight="1" outlineLevel="1" x14ac:dyDescent="0.2">
      <c r="A180" s="212" t="s">
        <v>52</v>
      </c>
      <c r="B180" s="14"/>
      <c r="C180" s="61"/>
      <c r="D180" s="61"/>
      <c r="E180" s="61"/>
      <c r="F180" s="60"/>
      <c r="G180" s="24"/>
      <c r="H180" s="24"/>
      <c r="I180" s="24"/>
      <c r="J180" s="24"/>
      <c r="K180" s="24"/>
      <c r="L180" s="223">
        <f ca="1">LOOKUP(1000,INDIRECT("L1:"&amp;CELL("address",INDIRECT("R[-1]C",FALSE))))+1</f>
        <v>2</v>
      </c>
      <c r="M180" s="299" t="s">
        <v>286</v>
      </c>
      <c r="N180" s="294"/>
      <c r="O180" s="4"/>
      <c r="P180" s="25"/>
      <c r="Q180" s="25"/>
      <c r="R180" s="25"/>
      <c r="S180" s="25"/>
      <c r="T180" s="225">
        <f>IF($S$6="Exclude", SUMIFS(S181:S183, J181:J183, "&lt;&gt;Yes", G181:G183, "&lt;&gt;Yes"), SUMIFS(S181:S183, J181:J183, "&lt;&gt;Yes"))</f>
        <v>5</v>
      </c>
      <c r="U180" s="25"/>
      <c r="V180" s="25"/>
      <c r="W180" s="25"/>
      <c r="X180" s="26"/>
      <c r="Y180" s="27"/>
      <c r="Z180" s="27"/>
      <c r="AA180" s="27"/>
      <c r="AB180" s="155"/>
      <c r="AC180" s="28"/>
      <c r="AD180" s="226" t="str">
        <f>IF(M180="", "Error: Task name cannot be empty.", "")</f>
        <v/>
      </c>
    </row>
    <row r="181" spans="1:30" s="9" customFormat="1" ht="1.5" hidden="1" customHeight="1" outlineLevel="2" x14ac:dyDescent="0.2">
      <c r="A181" s="212" t="s">
        <v>54</v>
      </c>
      <c r="B181" s="14"/>
      <c r="C181" s="61"/>
      <c r="D181" s="61"/>
      <c r="E181" s="61"/>
      <c r="F181" s="60"/>
      <c r="G181" s="24"/>
      <c r="H181" s="24"/>
      <c r="I181" s="24"/>
      <c r="J181" s="24"/>
      <c r="K181" s="24"/>
      <c r="L181" s="227">
        <f ca="1">L180</f>
        <v>2</v>
      </c>
      <c r="M181" s="228" t="s">
        <v>55</v>
      </c>
      <c r="N181" s="118"/>
      <c r="O181" s="119"/>
      <c r="P181" s="25"/>
      <c r="Q181" s="25"/>
      <c r="R181" s="25"/>
      <c r="S181" s="25"/>
      <c r="T181" s="114"/>
      <c r="U181" s="25"/>
      <c r="V181" s="25"/>
      <c r="W181" s="25"/>
      <c r="X181" s="26"/>
      <c r="Y181" s="27"/>
      <c r="Z181" s="27"/>
      <c r="AA181" s="27"/>
      <c r="AB181" s="28"/>
      <c r="AC181" s="28"/>
      <c r="AD181" s="19"/>
    </row>
    <row r="182" spans="1:30" ht="58" hidden="1" customHeight="1" outlineLevel="2" x14ac:dyDescent="0.2">
      <c r="A182" s="212" t="s">
        <v>49</v>
      </c>
      <c r="B182" s="14"/>
      <c r="C182" s="62"/>
      <c r="D182" s="62"/>
      <c r="E182" s="62"/>
      <c r="F182" s="63"/>
      <c r="G182" s="15" t="s">
        <v>57</v>
      </c>
      <c r="H182" s="15" t="s">
        <v>57</v>
      </c>
      <c r="I182" s="16" t="s">
        <v>57</v>
      </c>
      <c r="J182" s="15" t="s">
        <v>57</v>
      </c>
      <c r="K182" s="30"/>
      <c r="L182" s="15"/>
      <c r="M182" s="229" t="str">
        <f ca="1">IFERROR(OFFSET(M182,-1,,1,1)+0.1,OFFSET(M182,-1,-1,1,1)&amp;".1")</f>
        <v>2.1</v>
      </c>
      <c r="N182" s="16" t="s">
        <v>287</v>
      </c>
      <c r="O182" s="16"/>
      <c r="P182" s="16" t="s">
        <v>288</v>
      </c>
      <c r="Q182" s="100">
        <v>1</v>
      </c>
      <c r="R182" s="95">
        <v>2</v>
      </c>
      <c r="S182" s="230">
        <f>CEILING((IF(J182="Yes", 0, IF(H182="-",AA182,AA182+AA182*VLOOKUP(H182,BUFFERS_BY_TYPE,2,FALSE)))) +
   (IF(J182="Yes", 0, IF(H182="-",AA182,AA182+AA182*VLOOKUP(H182,BUFFERS_BY_TYPE,2,FALSE))))*VLOOKUP($S$5, SALES_CALL_SCALE_ARRAY, 2,FALSE),0.25)</f>
        <v>5</v>
      </c>
      <c r="T182" s="116"/>
      <c r="U182" s="17">
        <v>0</v>
      </c>
      <c r="V182" s="17">
        <v>1</v>
      </c>
      <c r="W182" s="17">
        <v>0</v>
      </c>
      <c r="X182" s="115">
        <v>5</v>
      </c>
      <c r="Y182" s="230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5</v>
      </c>
      <c r="Z182" s="18"/>
      <c r="AA182" s="230">
        <f>Y182+Y182*VLOOKUP(I182,EXTRAS_ARRAY,2,FALSE)</f>
        <v>5</v>
      </c>
      <c r="AB182" s="16" t="s">
        <v>289</v>
      </c>
      <c r="AC182" s="29"/>
      <c r="AD182" s="226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s="6" customFormat="1" ht="7.5" hidden="1" customHeight="1" outlineLevel="2" x14ac:dyDescent="0.2">
      <c r="A183" s="212" t="s">
        <v>68</v>
      </c>
      <c r="B183" s="12"/>
      <c r="C183" s="56"/>
      <c r="D183" s="56"/>
      <c r="E183" s="56"/>
      <c r="F183" s="56"/>
      <c r="M183" s="180"/>
      <c r="T183" s="12"/>
      <c r="X183" s="12"/>
      <c r="AB183" s="7"/>
      <c r="AC183" s="7"/>
      <c r="AD183" s="7"/>
    </row>
    <row r="184" spans="1:30" s="11" customFormat="1" ht="15.5" hidden="1" customHeight="1" outlineLevel="1" x14ac:dyDescent="0.2">
      <c r="A184" s="212" t="s">
        <v>52</v>
      </c>
      <c r="B184" s="14"/>
      <c r="C184" s="61"/>
      <c r="D184" s="61"/>
      <c r="E184" s="61"/>
      <c r="F184" s="60"/>
      <c r="G184" s="24"/>
      <c r="H184" s="24"/>
      <c r="I184" s="24"/>
      <c r="J184" s="24"/>
      <c r="K184" s="24"/>
      <c r="L184" s="223">
        <f ca="1">LOOKUP(1000,INDIRECT("L1:"&amp;CELL("address",INDIRECT("R[-1]C",FALSE))))+1</f>
        <v>3</v>
      </c>
      <c r="M184" s="299" t="s">
        <v>290</v>
      </c>
      <c r="N184" s="294"/>
      <c r="O184" s="4"/>
      <c r="P184" s="25"/>
      <c r="Q184" s="25"/>
      <c r="R184" s="25"/>
      <c r="S184" s="25"/>
      <c r="T184" s="225">
        <f>IF($S$6="Exclude", SUMIFS(S185:S187, J185:J187, "&lt;&gt;Yes", G185:G187, "&lt;&gt;Yes"), SUMIFS(S185:S187, J185:J187, "&lt;&gt;Yes"))</f>
        <v>5</v>
      </c>
      <c r="U184" s="25"/>
      <c r="V184" s="25"/>
      <c r="W184" s="25"/>
      <c r="X184" s="26"/>
      <c r="Y184" s="27"/>
      <c r="Z184" s="27"/>
      <c r="AA184" s="27"/>
      <c r="AB184" s="155"/>
      <c r="AC184" s="28"/>
      <c r="AD184" s="226" t="str">
        <f>IF(M184="", "Error: Task name cannot be empty.", "")</f>
        <v/>
      </c>
    </row>
    <row r="185" spans="1:30" s="9" customFormat="1" ht="1.5" hidden="1" customHeight="1" outlineLevel="2" x14ac:dyDescent="0.2">
      <c r="A185" s="212" t="s">
        <v>54</v>
      </c>
      <c r="B185" s="14"/>
      <c r="C185" s="61"/>
      <c r="D185" s="61"/>
      <c r="E185" s="61"/>
      <c r="F185" s="60"/>
      <c r="G185" s="24"/>
      <c r="H185" s="24"/>
      <c r="I185" s="24"/>
      <c r="J185" s="24"/>
      <c r="K185" s="24"/>
      <c r="L185" s="227">
        <f ca="1">L184</f>
        <v>3</v>
      </c>
      <c r="M185" s="228" t="s">
        <v>55</v>
      </c>
      <c r="N185" s="118"/>
      <c r="O185" s="119"/>
      <c r="P185" s="25"/>
      <c r="Q185" s="25"/>
      <c r="R185" s="25"/>
      <c r="S185" s="25"/>
      <c r="T185" s="114"/>
      <c r="U185" s="25"/>
      <c r="V185" s="25"/>
      <c r="W185" s="25"/>
      <c r="X185" s="26"/>
      <c r="Y185" s="27"/>
      <c r="Z185" s="27"/>
      <c r="AA185" s="27"/>
      <c r="AB185" s="28"/>
      <c r="AC185" s="28"/>
      <c r="AD185" s="19"/>
    </row>
    <row r="186" spans="1:30" ht="43.5" hidden="1" customHeight="1" outlineLevel="2" x14ac:dyDescent="0.2">
      <c r="A186" s="212" t="s">
        <v>49</v>
      </c>
      <c r="B186" s="14"/>
      <c r="C186" s="62"/>
      <c r="D186" s="62"/>
      <c r="E186" s="62"/>
      <c r="F186" s="63"/>
      <c r="G186" s="15" t="s">
        <v>57</v>
      </c>
      <c r="H186" s="15" t="s">
        <v>57</v>
      </c>
      <c r="I186" s="16" t="s">
        <v>57</v>
      </c>
      <c r="J186" s="15" t="s">
        <v>57</v>
      </c>
      <c r="K186" s="30"/>
      <c r="L186" s="15"/>
      <c r="M186" s="229" t="str">
        <f ca="1">IFERROR(OFFSET(M186,-1,,1,1)+0.1,OFFSET(M186,-1,-1,1,1)&amp;".1")</f>
        <v>3.1</v>
      </c>
      <c r="N186" s="16" t="s">
        <v>291</v>
      </c>
      <c r="O186" s="16"/>
      <c r="P186" s="16" t="s">
        <v>288</v>
      </c>
      <c r="Q186" s="100">
        <v>1</v>
      </c>
      <c r="R186" s="95">
        <v>2</v>
      </c>
      <c r="S186" s="230">
        <f>CEILING((IF(J186="Yes", 0, IF(H186="-",AA186,AA186+AA186*VLOOKUP(H186,BUFFERS_BY_TYPE,2,FALSE)))) +
   (IF(J186="Yes", 0, IF(H186="-",AA186,AA186+AA186*VLOOKUP(H186,BUFFERS_BY_TYPE,2,FALSE))))*VLOOKUP($S$5, SALES_CALL_SCALE_ARRAY, 2,FALSE),0.25)</f>
        <v>5</v>
      </c>
      <c r="T186" s="116"/>
      <c r="U186" s="17">
        <v>0</v>
      </c>
      <c r="V186" s="17">
        <v>1</v>
      </c>
      <c r="W186" s="17">
        <v>0</v>
      </c>
      <c r="X186" s="115">
        <v>5</v>
      </c>
      <c r="Y186" s="230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5</v>
      </c>
      <c r="Z186" s="18"/>
      <c r="AA186" s="230">
        <f>Y186+Y186*VLOOKUP(I186,EXTRAS_ARRAY,2,FALSE)</f>
        <v>5</v>
      </c>
      <c r="AB186" s="16" t="s">
        <v>292</v>
      </c>
      <c r="AC186" s="29"/>
      <c r="AD186" s="226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s="6" customFormat="1" ht="7.5" hidden="1" customHeight="1" outlineLevel="2" x14ac:dyDescent="0.2">
      <c r="A187" s="212" t="s">
        <v>68</v>
      </c>
      <c r="B187" s="12"/>
      <c r="C187" s="56"/>
      <c r="D187" s="56"/>
      <c r="E187" s="56"/>
      <c r="F187" s="56"/>
      <c r="M187" s="180"/>
      <c r="T187" s="12"/>
      <c r="X187" s="12"/>
      <c r="AB187" s="7"/>
      <c r="AC187" s="7"/>
      <c r="AD187" s="7"/>
    </row>
    <row r="188" spans="1:30" s="11" customFormat="1" ht="15.5" hidden="1" customHeight="1" outlineLevel="1" x14ac:dyDescent="0.2">
      <c r="A188" s="212" t="s">
        <v>52</v>
      </c>
      <c r="B188" s="14"/>
      <c r="C188" s="61"/>
      <c r="D188" s="61"/>
      <c r="E188" s="61"/>
      <c r="F188" s="60"/>
      <c r="G188" s="24"/>
      <c r="H188" s="24"/>
      <c r="I188" s="24"/>
      <c r="J188" s="24"/>
      <c r="K188" s="24"/>
      <c r="L188" s="223">
        <f ca="1">LOOKUP(1000,INDIRECT("L1:"&amp;CELL("address",INDIRECT("R[-1]C",FALSE))))+1</f>
        <v>4</v>
      </c>
      <c r="M188" s="299" t="s">
        <v>293</v>
      </c>
      <c r="N188" s="294"/>
      <c r="O188" s="4"/>
      <c r="P188" s="25"/>
      <c r="Q188" s="25"/>
      <c r="R188" s="25"/>
      <c r="S188" s="25"/>
      <c r="T188" s="225">
        <f>IF($S$6="Exclude", SUMIFS(S189:S194, J189:J194, "&lt;&gt;Yes", G189:G194, "&lt;&gt;Yes"), SUMIFS(S189:S194, J189:J194, "&lt;&gt;Yes"))</f>
        <v>4</v>
      </c>
      <c r="U188" s="25"/>
      <c r="V188" s="25"/>
      <c r="W188" s="25"/>
      <c r="X188" s="26"/>
      <c r="Y188" s="27"/>
      <c r="Z188" s="27"/>
      <c r="AA188" s="27"/>
      <c r="AB188" s="155"/>
      <c r="AC188" s="28"/>
      <c r="AD188" s="226" t="str">
        <f>IF(M188="", "Error: Task name cannot be empty.", "")</f>
        <v/>
      </c>
    </row>
    <row r="189" spans="1:30" s="9" customFormat="1" ht="1.5" hidden="1" customHeight="1" outlineLevel="2" x14ac:dyDescent="0.2">
      <c r="A189" s="212" t="s">
        <v>54</v>
      </c>
      <c r="B189" s="14"/>
      <c r="C189" s="61"/>
      <c r="D189" s="61"/>
      <c r="E189" s="61"/>
      <c r="F189" s="60"/>
      <c r="G189" s="24"/>
      <c r="H189" s="24"/>
      <c r="I189" s="24"/>
      <c r="J189" s="24"/>
      <c r="K189" s="24"/>
      <c r="L189" s="227">
        <f ca="1">L188</f>
        <v>4</v>
      </c>
      <c r="M189" s="228" t="s">
        <v>55</v>
      </c>
      <c r="N189" s="118"/>
      <c r="O189" s="119"/>
      <c r="P189" s="25"/>
      <c r="Q189" s="25"/>
      <c r="R189" s="25"/>
      <c r="S189" s="25"/>
      <c r="T189" s="114"/>
      <c r="U189" s="25"/>
      <c r="V189" s="25"/>
      <c r="W189" s="25"/>
      <c r="X189" s="26"/>
      <c r="Y189" s="27"/>
      <c r="Z189" s="27"/>
      <c r="AA189" s="27"/>
      <c r="AB189" s="28"/>
      <c r="AC189" s="28"/>
      <c r="AD189" s="19"/>
    </row>
    <row r="190" spans="1:30" ht="43.5" hidden="1" customHeight="1" outlineLevel="2" x14ac:dyDescent="0.2">
      <c r="A190" s="212" t="s">
        <v>49</v>
      </c>
      <c r="B190" s="14"/>
      <c r="C190" s="62"/>
      <c r="D190" s="62"/>
      <c r="E190" s="62"/>
      <c r="F190" s="63"/>
      <c r="G190" s="15" t="s">
        <v>57</v>
      </c>
      <c r="H190" s="15" t="s">
        <v>57</v>
      </c>
      <c r="I190" s="16" t="s">
        <v>57</v>
      </c>
      <c r="J190" s="15" t="s">
        <v>57</v>
      </c>
      <c r="K190" s="30"/>
      <c r="L190" s="15"/>
      <c r="M190" s="229" t="str">
        <f ca="1">IFERROR(OFFSET(M190,-1,,1,1)+0.1,OFFSET(M190,-1,-1,1,1)&amp;".1")</f>
        <v>4.1</v>
      </c>
      <c r="N190" s="16" t="s">
        <v>294</v>
      </c>
      <c r="O190" s="16"/>
      <c r="P190" s="16"/>
      <c r="Q190" s="100">
        <v>1</v>
      </c>
      <c r="R190" s="95"/>
      <c r="S190" s="230">
        <f>CEILING((IF(J190="Yes", 0, IF(H190="-",AA190,AA190+AA190*VLOOKUP(H190,BUFFERS_BY_TYPE,2,FALSE)))) +
   (IF(J190="Yes", 0, IF(H190="-",AA190,AA190+AA190*VLOOKUP(H190,BUFFERS_BY_TYPE,2,FALSE))))*VLOOKUP($S$5, SALES_CALL_SCALE_ARRAY, 2,FALSE),0.25)</f>
        <v>1</v>
      </c>
      <c r="T190" s="116"/>
      <c r="U190" s="17">
        <v>0</v>
      </c>
      <c r="V190" s="17">
        <v>1</v>
      </c>
      <c r="W190" s="17">
        <v>0</v>
      </c>
      <c r="X190" s="115">
        <v>1</v>
      </c>
      <c r="Y190" s="230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1</v>
      </c>
      <c r="Z190" s="18"/>
      <c r="AA190" s="230">
        <f>Y190+Y190*VLOOKUP(I190,EXTRAS_ARRAY,2,FALSE)</f>
        <v>1</v>
      </c>
      <c r="AB190" s="16" t="s">
        <v>295</v>
      </c>
      <c r="AC190" s="29"/>
      <c r="AD190" s="226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43.5" hidden="1" customHeight="1" outlineLevel="2" x14ac:dyDescent="0.2">
      <c r="A191" s="212" t="s">
        <v>49</v>
      </c>
      <c r="B191" s="14"/>
      <c r="C191" s="62"/>
      <c r="D191" s="62"/>
      <c r="E191" s="62"/>
      <c r="F191" s="63"/>
      <c r="G191" s="15" t="s">
        <v>57</v>
      </c>
      <c r="H191" s="15" t="s">
        <v>57</v>
      </c>
      <c r="I191" s="16" t="s">
        <v>57</v>
      </c>
      <c r="J191" s="15" t="s">
        <v>57</v>
      </c>
      <c r="K191" s="30"/>
      <c r="L191" s="15"/>
      <c r="M191" s="229">
        <f ca="1">IFERROR(OFFSET(M191,-1,,1,1)+0.1,OFFSET(M191,-1,-1,1,1)&amp;".1")</f>
        <v>4.1999999999999993</v>
      </c>
      <c r="N191" s="16" t="s">
        <v>296</v>
      </c>
      <c r="O191" s="16"/>
      <c r="P191" s="16"/>
      <c r="Q191" s="100">
        <v>1</v>
      </c>
      <c r="R191" s="95"/>
      <c r="S191" s="230">
        <f>CEILING((IF(J191="Yes", 0, IF(H191="-",AA191,AA191+AA191*VLOOKUP(H191,BUFFERS_BY_TYPE,2,FALSE)))) +
   (IF(J191="Yes", 0, IF(H191="-",AA191,AA191+AA191*VLOOKUP(H191,BUFFERS_BY_TYPE,2,FALSE))))*VLOOKUP($S$5, SALES_CALL_SCALE_ARRAY, 2,FALSE),0.25)</f>
        <v>1</v>
      </c>
      <c r="T191" s="116"/>
      <c r="U191" s="17">
        <v>0</v>
      </c>
      <c r="V191" s="17">
        <v>1</v>
      </c>
      <c r="W191" s="17">
        <v>0</v>
      </c>
      <c r="X191" s="115">
        <v>1</v>
      </c>
      <c r="Y191" s="230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1</v>
      </c>
      <c r="Z191" s="18"/>
      <c r="AA191" s="230">
        <f>Y191+Y191*VLOOKUP(I191,EXTRAS_ARRAY,2,FALSE)</f>
        <v>1</v>
      </c>
      <c r="AB191" s="16" t="s">
        <v>297</v>
      </c>
      <c r="AC191" s="29"/>
      <c r="AD191" s="226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ht="43.5" hidden="1" customHeight="1" outlineLevel="2" x14ac:dyDescent="0.2">
      <c r="A192" s="212" t="s">
        <v>49</v>
      </c>
      <c r="B192" s="14"/>
      <c r="C192" s="62"/>
      <c r="D192" s="62"/>
      <c r="E192" s="62"/>
      <c r="F192" s="63"/>
      <c r="G192" s="15" t="s">
        <v>57</v>
      </c>
      <c r="H192" s="15" t="s">
        <v>57</v>
      </c>
      <c r="I192" s="16" t="s">
        <v>57</v>
      </c>
      <c r="J192" s="15" t="s">
        <v>57</v>
      </c>
      <c r="K192" s="30"/>
      <c r="L192" s="15"/>
      <c r="M192" s="229">
        <f ca="1">IFERROR(OFFSET(M192,-1,,1,1)+0.1,OFFSET(M192,-1,-1,1,1)&amp;".1")</f>
        <v>4.2999999999999989</v>
      </c>
      <c r="N192" s="16" t="s">
        <v>298</v>
      </c>
      <c r="O192" s="16"/>
      <c r="P192" s="16"/>
      <c r="Q192" s="100">
        <v>1</v>
      </c>
      <c r="R192" s="95"/>
      <c r="S192" s="230">
        <f>CEILING((IF(J192="Yes", 0, IF(H192="-",AA192,AA192+AA192*VLOOKUP(H192,BUFFERS_BY_TYPE,2,FALSE)))) +
   (IF(J192="Yes", 0, IF(H192="-",AA192,AA192+AA192*VLOOKUP(H192,BUFFERS_BY_TYPE,2,FALSE))))*VLOOKUP($S$5, SALES_CALL_SCALE_ARRAY, 2,FALSE),0.25)</f>
        <v>1</v>
      </c>
      <c r="T192" s="116"/>
      <c r="U192" s="17">
        <v>0</v>
      </c>
      <c r="V192" s="17">
        <v>1</v>
      </c>
      <c r="W192" s="17">
        <v>0</v>
      </c>
      <c r="X192" s="115">
        <v>1</v>
      </c>
      <c r="Y192" s="230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>1</v>
      </c>
      <c r="Z192" s="18"/>
      <c r="AA192" s="230">
        <f>Y192+Y192*VLOOKUP(I192,EXTRAS_ARRAY,2,FALSE)</f>
        <v>1</v>
      </c>
      <c r="AB192" s="16" t="s">
        <v>299</v>
      </c>
      <c r="AC192" s="29"/>
      <c r="AD192" s="226" t="str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spans="1:30" ht="43.5" hidden="1" customHeight="1" outlineLevel="2" x14ac:dyDescent="0.2">
      <c r="A193" s="212" t="s">
        <v>49</v>
      </c>
      <c r="B193" s="14"/>
      <c r="C193" s="62"/>
      <c r="D193" s="62"/>
      <c r="E193" s="62"/>
      <c r="F193" s="63"/>
      <c r="G193" s="15" t="s">
        <v>57</v>
      </c>
      <c r="H193" s="15" t="s">
        <v>57</v>
      </c>
      <c r="I193" s="16" t="s">
        <v>57</v>
      </c>
      <c r="J193" s="15" t="s">
        <v>57</v>
      </c>
      <c r="K193" s="30"/>
      <c r="L193" s="15"/>
      <c r="M193" s="229">
        <f ca="1">IFERROR(OFFSET(M193,-1,,1,1)+0.1,OFFSET(M193,-1,-1,1,1)&amp;".1")</f>
        <v>4.3999999999999986</v>
      </c>
      <c r="N193" s="16" t="s">
        <v>300</v>
      </c>
      <c r="O193" s="16"/>
      <c r="P193" s="16"/>
      <c r="Q193" s="100">
        <v>1</v>
      </c>
      <c r="R193" s="95"/>
      <c r="S193" s="230">
        <f>CEILING((IF(J193="Yes", 0, IF(H193="-",AA193,AA193+AA193*VLOOKUP(H193,BUFFERS_BY_TYPE,2,FALSE)))) +
   (IF(J193="Yes", 0, IF(H193="-",AA193,AA193+AA193*VLOOKUP(H193,BUFFERS_BY_TYPE,2,FALSE))))*VLOOKUP($S$5, SALES_CALL_SCALE_ARRAY, 2,FALSE),0.25)</f>
        <v>1</v>
      </c>
      <c r="T193" s="116"/>
      <c r="U193" s="17">
        <v>0</v>
      </c>
      <c r="V193" s="17">
        <v>1</v>
      </c>
      <c r="W193" s="17">
        <v>0</v>
      </c>
      <c r="X193" s="115">
        <v>1</v>
      </c>
      <c r="Y193" s="230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>1</v>
      </c>
      <c r="Z193" s="18"/>
      <c r="AA193" s="230">
        <f>Y193+Y193*VLOOKUP(I193,EXTRAS_ARRAY,2,FALSE)</f>
        <v>1</v>
      </c>
      <c r="AB193" s="16" t="s">
        <v>301</v>
      </c>
      <c r="AC193" s="29"/>
      <c r="AD193" s="226" t="str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spans="1:30" s="6" customFormat="1" ht="7.5" hidden="1" customHeight="1" outlineLevel="2" x14ac:dyDescent="0.2">
      <c r="A194" s="212" t="s">
        <v>68</v>
      </c>
      <c r="B194" s="12"/>
      <c r="C194" s="56"/>
      <c r="D194" s="56"/>
      <c r="E194" s="56"/>
      <c r="F194" s="56"/>
      <c r="M194" s="180"/>
      <c r="T194" s="12"/>
      <c r="X194" s="12"/>
      <c r="AB194" s="7"/>
      <c r="AC194" s="7"/>
      <c r="AD194" s="7"/>
    </row>
    <row r="195" spans="1:30" s="6" customFormat="1" ht="3" hidden="1" customHeight="1" outlineLevel="1" x14ac:dyDescent="0.2">
      <c r="A195" s="212" t="s">
        <v>141</v>
      </c>
      <c r="C195" s="56"/>
      <c r="D195" s="56"/>
      <c r="E195" s="56"/>
      <c r="F195" s="56"/>
      <c r="G195" s="21"/>
      <c r="H195" s="21"/>
      <c r="I195" s="21"/>
      <c r="J195" s="21"/>
      <c r="K195" s="21"/>
      <c r="L195" s="48"/>
      <c r="M195" s="189"/>
      <c r="N195" s="49"/>
      <c r="O195" s="49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9"/>
      <c r="AC195" s="49"/>
      <c r="AD195" s="7"/>
    </row>
    <row r="196" spans="1:30" s="11" customFormat="1" ht="18.5" customHeight="1" x14ac:dyDescent="0.2">
      <c r="A196" s="212" t="s">
        <v>46</v>
      </c>
      <c r="B196" s="9"/>
      <c r="C196" s="57"/>
      <c r="D196" s="57"/>
      <c r="E196" s="57"/>
      <c r="F196" s="56"/>
      <c r="G196" s="44"/>
      <c r="H196" s="44"/>
      <c r="I196" s="44"/>
      <c r="J196" s="44"/>
      <c r="K196" s="44"/>
      <c r="L196" s="44" t="s">
        <v>302</v>
      </c>
      <c r="M196" s="187" t="s">
        <v>303</v>
      </c>
      <c r="N196" s="45"/>
      <c r="O196" s="46"/>
      <c r="P196" s="47"/>
      <c r="Q196" s="47"/>
      <c r="R196" s="47"/>
      <c r="S196" s="323">
        <f>CEILING(SUMIF(J197:J202, "&lt;&gt;Yes", T197:T202),1)</f>
        <v>41</v>
      </c>
      <c r="T196" s="294"/>
      <c r="U196" s="47"/>
      <c r="V196" s="47"/>
      <c r="W196" s="47"/>
      <c r="X196" s="47"/>
      <c r="Y196" s="47"/>
      <c r="Z196" s="47"/>
      <c r="AA196" s="47"/>
      <c r="AB196" s="47"/>
      <c r="AC196" s="47"/>
      <c r="AD196" s="10"/>
    </row>
    <row r="197" spans="1:30" s="6" customFormat="1" ht="3" customHeight="1" outlineLevel="1" x14ac:dyDescent="0.2">
      <c r="A197" s="212" t="s">
        <v>51</v>
      </c>
      <c r="B197" s="12"/>
      <c r="C197" s="56"/>
      <c r="D197" s="56"/>
      <c r="E197" s="56"/>
      <c r="F197" s="56"/>
      <c r="G197" s="21"/>
      <c r="H197" s="21"/>
      <c r="I197" s="21"/>
      <c r="J197" s="21"/>
      <c r="K197" s="21"/>
      <c r="L197" s="53">
        <v>0</v>
      </c>
      <c r="M197" s="188"/>
      <c r="N197" s="21"/>
      <c r="O197" s="21"/>
      <c r="P197" s="21"/>
      <c r="Q197" s="21"/>
      <c r="R197" s="21"/>
      <c r="S197" s="21"/>
      <c r="T197" s="22"/>
      <c r="U197" s="21"/>
      <c r="V197" s="21"/>
      <c r="W197" s="21"/>
      <c r="X197" s="22"/>
      <c r="Y197" s="21"/>
      <c r="Z197" s="21"/>
      <c r="AA197" s="21"/>
      <c r="AB197" s="23"/>
      <c r="AC197" s="23"/>
      <c r="AD197" s="7"/>
    </row>
    <row r="198" spans="1:30" s="11" customFormat="1" ht="15.5" customHeight="1" outlineLevel="1" collapsed="1" x14ac:dyDescent="0.2">
      <c r="A198" s="212" t="s">
        <v>52</v>
      </c>
      <c r="B198" s="14"/>
      <c r="C198" s="61"/>
      <c r="D198" s="61"/>
      <c r="E198" s="61"/>
      <c r="F198" s="60"/>
      <c r="G198" s="24"/>
      <c r="H198" s="24"/>
      <c r="I198" s="24"/>
      <c r="J198" s="24"/>
      <c r="K198" s="24"/>
      <c r="L198" s="223">
        <f ca="1">LOOKUP(1000,INDIRECT("L1:"&amp;CELL("address",INDIRECT("R[-1]C",FALSE))))+1</f>
        <v>1</v>
      </c>
      <c r="M198" s="299" t="s">
        <v>304</v>
      </c>
      <c r="N198" s="294"/>
      <c r="O198" s="4"/>
      <c r="P198" s="25"/>
      <c r="Q198" s="25"/>
      <c r="R198" s="25"/>
      <c r="S198" s="25"/>
      <c r="T198" s="225">
        <f>IF($S$6="Exclude", SUMIFS(S199:S201, J199:J201, "&lt;&gt;Yes", G199:G201, "&lt;&gt;Yes"), SUMIFS(S199:S201, J199:J201, "&lt;&gt;Yes"))</f>
        <v>40.5</v>
      </c>
      <c r="U198" s="25"/>
      <c r="V198" s="25"/>
      <c r="W198" s="25"/>
      <c r="X198" s="26"/>
      <c r="Y198" s="27"/>
      <c r="Z198" s="27"/>
      <c r="AA198" s="27"/>
      <c r="AB198" s="155"/>
      <c r="AC198" s="28"/>
      <c r="AD198" s="226" t="str">
        <f>IF(M198="", "Error: Task name cannot be empty.", "")</f>
        <v/>
      </c>
    </row>
    <row r="199" spans="1:30" s="9" customFormat="1" ht="1.5" hidden="1" customHeight="1" outlineLevel="2" x14ac:dyDescent="0.2">
      <c r="A199" s="212" t="s">
        <v>54</v>
      </c>
      <c r="B199" s="14"/>
      <c r="C199" s="61"/>
      <c r="D199" s="61"/>
      <c r="E199" s="61"/>
      <c r="F199" s="60"/>
      <c r="G199" s="24"/>
      <c r="H199" s="24"/>
      <c r="I199" s="24"/>
      <c r="J199" s="24"/>
      <c r="K199" s="24"/>
      <c r="L199" s="227">
        <f ca="1">L198</f>
        <v>1</v>
      </c>
      <c r="M199" s="228" t="s">
        <v>55</v>
      </c>
      <c r="N199" s="118"/>
      <c r="O199" s="119"/>
      <c r="P199" s="25"/>
      <c r="Q199" s="25"/>
      <c r="R199" s="25"/>
      <c r="S199" s="25"/>
      <c r="T199" s="114"/>
      <c r="U199" s="25"/>
      <c r="V199" s="25"/>
      <c r="W199" s="25"/>
      <c r="X199" s="26"/>
      <c r="Y199" s="27"/>
      <c r="Z199" s="27"/>
      <c r="AA199" s="27"/>
      <c r="AB199" s="28"/>
      <c r="AC199" s="28"/>
      <c r="AD199" s="19"/>
    </row>
    <row r="200" spans="1:30" ht="15.5" hidden="1" customHeight="1" outlineLevel="2" x14ac:dyDescent="0.2">
      <c r="A200" s="212" t="s">
        <v>49</v>
      </c>
      <c r="B200" s="14"/>
      <c r="C200" s="62"/>
      <c r="D200" s="62"/>
      <c r="E200" s="62"/>
      <c r="F200" s="63"/>
      <c r="G200" s="15" t="s">
        <v>57</v>
      </c>
      <c r="H200" s="15" t="s">
        <v>57</v>
      </c>
      <c r="I200" s="16" t="s">
        <v>57</v>
      </c>
      <c r="J200" s="15" t="s">
        <v>57</v>
      </c>
      <c r="K200" s="30"/>
      <c r="L200" s="15"/>
      <c r="M200" s="229" t="str">
        <f ca="1">IFERROR(OFFSET(M200,-1,,1,1)+0.1,OFFSET(M200,-1,-1,1,1)&amp;".1")</f>
        <v>1.1</v>
      </c>
      <c r="N200" s="16" t="s">
        <v>305</v>
      </c>
      <c r="O200" s="16" t="s">
        <v>306</v>
      </c>
      <c r="P200" s="179">
        <v>0.1</v>
      </c>
      <c r="Q200" s="100"/>
      <c r="R200" s="95"/>
      <c r="S200" s="230">
        <f>CEILING((IF(J200="Yes", 0, IF(H200="-",AA200,AA200+AA200*VLOOKUP(H200,BUFFERS_BY_TYPE,2,FALSE)))) +
   (IF(J200="Yes", 0, IF(H200="-",AA200,AA200+AA200*VLOOKUP(H200,BUFFERS_BY_TYPE,2,FALSE))))*VLOOKUP($S$5, SALES_CALL_SCALE_ARRAY, 2,FALSE),0.25)</f>
        <v>40.5</v>
      </c>
      <c r="T200" s="116"/>
      <c r="U200" s="17">
        <v>0</v>
      </c>
      <c r="V200" s="17">
        <v>1</v>
      </c>
      <c r="W200" s="17">
        <v>0</v>
      </c>
      <c r="X200" s="115">
        <f>(REQ_EFFORT+DESIGN_EFFORT+DEV_EFFORT+QA_EFFORT+UAT_EFFORT) * P200</f>
        <v>40.400000000000006</v>
      </c>
      <c r="Y200" s="230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>40.5</v>
      </c>
      <c r="Z200" s="18"/>
      <c r="AA200" s="230">
        <f>Y200+Y200*VLOOKUP(I200,EXTRAS_ARRAY,2,FALSE)</f>
        <v>40.5</v>
      </c>
      <c r="AB200" s="16" t="s">
        <v>307</v>
      </c>
      <c r="AC200" s="29"/>
      <c r="AD200" s="226" t="str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spans="1:30" s="6" customFormat="1" ht="7.5" hidden="1" customHeight="1" outlineLevel="2" x14ac:dyDescent="0.2">
      <c r="A201" s="212" t="s">
        <v>68</v>
      </c>
      <c r="B201" s="12"/>
      <c r="C201" s="56"/>
      <c r="D201" s="56"/>
      <c r="E201" s="56"/>
      <c r="F201" s="56"/>
      <c r="M201" s="180"/>
      <c r="T201" s="12"/>
      <c r="X201" s="12"/>
      <c r="AB201" s="7"/>
      <c r="AC201" s="7"/>
      <c r="AD201" s="7"/>
    </row>
    <row r="202" spans="1:30" s="6" customFormat="1" ht="3" customHeight="1" outlineLevel="1" x14ac:dyDescent="0.2">
      <c r="A202" s="212" t="s">
        <v>141</v>
      </c>
      <c r="C202" s="56"/>
      <c r="D202" s="56"/>
      <c r="E202" s="56"/>
      <c r="F202" s="56"/>
      <c r="G202" s="21"/>
      <c r="H202" s="21"/>
      <c r="I202" s="21"/>
      <c r="J202" s="21"/>
      <c r="K202" s="21"/>
      <c r="L202" s="48"/>
      <c r="M202" s="189"/>
      <c r="N202" s="49"/>
      <c r="O202" s="49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9"/>
      <c r="AC202" s="49"/>
      <c r="AD202" s="7"/>
    </row>
    <row r="203" spans="1:30" s="6" customFormat="1" ht="20.25" customHeight="1" x14ac:dyDescent="0.2">
      <c r="A203" s="212" t="s">
        <v>308</v>
      </c>
      <c r="C203" s="56"/>
      <c r="D203" s="56"/>
      <c r="E203" s="56"/>
      <c r="F203" s="56"/>
      <c r="G203" s="35"/>
      <c r="H203" s="35"/>
      <c r="I203" s="35"/>
      <c r="J203" s="35"/>
      <c r="K203" s="35"/>
      <c r="L203" s="102"/>
      <c r="M203" s="185"/>
      <c r="N203" s="35"/>
      <c r="O203" s="35"/>
      <c r="P203" s="35"/>
      <c r="Q203" s="35"/>
      <c r="R203" s="35"/>
      <c r="S203" s="314">
        <f>TOTAL_EFFORT</f>
        <v>445</v>
      </c>
      <c r="T203" s="294"/>
      <c r="U203" s="35"/>
      <c r="V203" s="35"/>
      <c r="W203" s="35"/>
      <c r="X203" s="35"/>
      <c r="Y203" s="35"/>
      <c r="Z203" s="35"/>
      <c r="AA203" s="35"/>
      <c r="AB203" s="101"/>
      <c r="AC203" s="35"/>
      <c r="AD203" s="7"/>
    </row>
    <row r="204" spans="1:30" s="6" customFormat="1" x14ac:dyDescent="0.2">
      <c r="A204" s="70"/>
      <c r="C204" s="58"/>
      <c r="D204" s="58"/>
      <c r="E204" s="58"/>
      <c r="F204" s="56"/>
      <c r="M204" s="180"/>
      <c r="N204" s="7"/>
      <c r="O204" s="7"/>
      <c r="AB204" s="7"/>
      <c r="AC204" s="7"/>
      <c r="AD204" s="7"/>
    </row>
    <row r="205" spans="1:30" s="6" customFormat="1" ht="20.25" customHeight="1" x14ac:dyDescent="0.2">
      <c r="A205" s="70"/>
      <c r="C205" s="56"/>
      <c r="D205" s="56"/>
      <c r="E205" s="56"/>
      <c r="F205" s="56"/>
      <c r="G205" s="293" t="s">
        <v>32</v>
      </c>
      <c r="H205" s="294"/>
      <c r="I205" s="120"/>
      <c r="J205" s="35"/>
      <c r="K205" s="35"/>
      <c r="L205" s="31"/>
      <c r="M205" s="231" t="s">
        <v>309</v>
      </c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7"/>
    </row>
    <row r="206" spans="1:30" s="6" customFormat="1" outlineLevel="1" x14ac:dyDescent="0.2">
      <c r="A206" s="70"/>
      <c r="C206" s="58"/>
      <c r="D206" s="58"/>
      <c r="E206" s="58"/>
      <c r="F206" s="56"/>
      <c r="G206" s="21"/>
      <c r="H206" s="21"/>
      <c r="I206" s="21"/>
      <c r="J206" s="21"/>
      <c r="K206" s="21"/>
      <c r="L206" s="21"/>
      <c r="M206" s="188"/>
      <c r="N206" s="23"/>
      <c r="O206" s="23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3"/>
      <c r="AC206" s="23"/>
      <c r="AD206" s="7"/>
    </row>
    <row r="207" spans="1:30" s="6" customFormat="1" ht="15" customHeight="1" outlineLevel="1" x14ac:dyDescent="0.2">
      <c r="A207" s="70"/>
      <c r="C207" s="58"/>
      <c r="D207" s="58"/>
      <c r="E207" s="58"/>
      <c r="F207" s="56"/>
      <c r="G207" s="21"/>
      <c r="H207" s="21"/>
      <c r="I207" s="21"/>
      <c r="J207" s="21"/>
      <c r="K207" s="21"/>
      <c r="L207" s="21"/>
      <c r="M207" s="320" t="s">
        <v>310</v>
      </c>
      <c r="N207" s="294"/>
      <c r="O207" s="294"/>
      <c r="P207" s="294"/>
      <c r="Q207" s="294"/>
      <c r="R207" s="294"/>
      <c r="S207" s="294"/>
      <c r="T207" s="294"/>
      <c r="U207" s="23"/>
      <c r="V207" s="23"/>
      <c r="W207" s="23"/>
      <c r="X207" s="21"/>
      <c r="Y207" s="21"/>
      <c r="Z207" s="21"/>
      <c r="AA207" s="21"/>
      <c r="AB207" s="23"/>
      <c r="AC207" s="23"/>
      <c r="AD207" s="7"/>
    </row>
    <row r="208" spans="1:30" s="6" customFormat="1" outlineLevel="1" x14ac:dyDescent="0.2">
      <c r="A208" s="70"/>
      <c r="C208" s="58"/>
      <c r="D208" s="58"/>
      <c r="E208" s="58"/>
      <c r="F208" s="56"/>
      <c r="G208" s="21"/>
      <c r="H208" s="21"/>
      <c r="I208" s="21"/>
      <c r="J208" s="21"/>
      <c r="K208" s="21"/>
      <c r="L208" s="21"/>
      <c r="M208" s="294"/>
      <c r="N208" s="294"/>
      <c r="O208" s="294"/>
      <c r="P208" s="294"/>
      <c r="Q208" s="294"/>
      <c r="R208" s="294"/>
      <c r="S208" s="294"/>
      <c r="T208" s="294"/>
      <c r="U208" s="23"/>
      <c r="V208" s="23"/>
      <c r="W208" s="23"/>
      <c r="X208" s="21"/>
      <c r="Y208" s="21"/>
      <c r="Z208" s="21"/>
      <c r="AA208" s="21"/>
      <c r="AB208" s="23"/>
      <c r="AC208" s="23"/>
      <c r="AD208" s="7"/>
    </row>
    <row r="209" spans="1:30" s="6" customFormat="1" ht="3.75" customHeight="1" outlineLevel="1" x14ac:dyDescent="0.2">
      <c r="A209" s="70"/>
      <c r="C209" s="58"/>
      <c r="D209" s="58"/>
      <c r="E209" s="58"/>
      <c r="F209" s="56"/>
      <c r="G209" s="21"/>
      <c r="H209" s="21"/>
      <c r="I209" s="21"/>
      <c r="J209" s="21"/>
      <c r="K209" s="21"/>
      <c r="L209" s="21"/>
      <c r="M209" s="188"/>
      <c r="N209" s="23"/>
      <c r="O209" s="23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3"/>
      <c r="AC209" s="23"/>
      <c r="AD209" s="7"/>
    </row>
    <row r="210" spans="1:30" s="6" customFormat="1" ht="15.5" customHeight="1" outlineLevel="1" x14ac:dyDescent="0.2">
      <c r="A210" s="70"/>
      <c r="C210" s="58"/>
      <c r="D210" s="58"/>
      <c r="E210" s="58"/>
      <c r="F210" s="56"/>
      <c r="G210" s="21"/>
      <c r="H210" s="21"/>
      <c r="I210" s="21"/>
      <c r="J210" s="21"/>
      <c r="K210" s="21"/>
      <c r="L210" s="21"/>
      <c r="M210" s="232" t="s">
        <v>36</v>
      </c>
      <c r="N210" s="233" t="s">
        <v>35</v>
      </c>
      <c r="O210" s="234" t="s">
        <v>38</v>
      </c>
      <c r="P210" s="235" t="str">
        <f>"Cost ("&amp;CHOSEN_CURRENCY&amp;")"</f>
        <v>Cost (USD)</v>
      </c>
      <c r="Q210" s="21"/>
      <c r="R210" s="236" t="s">
        <v>311</v>
      </c>
      <c r="S210" s="50" t="s">
        <v>312</v>
      </c>
      <c r="T210" s="237" t="s">
        <v>313</v>
      </c>
      <c r="U210" s="21"/>
      <c r="V210" s="21"/>
      <c r="W210" s="21"/>
      <c r="X210" s="21"/>
      <c r="Y210" s="21"/>
      <c r="Z210" s="21"/>
      <c r="AA210" s="21"/>
      <c r="AB210" s="23"/>
      <c r="AC210" s="23"/>
      <c r="AD210" s="7"/>
    </row>
    <row r="211" spans="1:30" s="6" customFormat="1" ht="3" customHeight="1" outlineLevel="1" x14ac:dyDescent="0.2">
      <c r="A211" s="70"/>
      <c r="C211" s="58"/>
      <c r="D211" s="58"/>
      <c r="E211" s="58"/>
      <c r="F211" s="56"/>
      <c r="G211" s="21"/>
      <c r="H211" s="21"/>
      <c r="I211" s="21"/>
      <c r="J211" s="21"/>
      <c r="K211" s="21"/>
      <c r="L211" s="21"/>
      <c r="M211" s="190"/>
      <c r="N211" s="173"/>
      <c r="O211" s="173"/>
      <c r="P211" s="172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3"/>
      <c r="AC211" s="23"/>
      <c r="AD211" s="7"/>
    </row>
    <row r="212" spans="1:30" s="6" customFormat="1" outlineLevel="1" x14ac:dyDescent="0.2">
      <c r="A212" s="70"/>
      <c r="C212" s="58"/>
      <c r="D212" s="58"/>
      <c r="E212" s="58"/>
      <c r="F212" s="56"/>
      <c r="G212" s="21"/>
      <c r="H212" s="21"/>
      <c r="I212" s="21"/>
      <c r="J212" s="21"/>
      <c r="K212" s="21"/>
      <c r="L212" s="21"/>
      <c r="M212" s="188"/>
      <c r="N212" s="23"/>
      <c r="O212" s="23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3"/>
      <c r="AC212" s="23"/>
      <c r="AD212" s="7"/>
    </row>
    <row r="213" spans="1:30" s="6" customFormat="1" outlineLevel="1" x14ac:dyDescent="0.2">
      <c r="A213" s="70"/>
      <c r="C213" s="58"/>
      <c r="D213" s="58"/>
      <c r="E213" s="58"/>
      <c r="F213" s="56"/>
      <c r="G213" s="21"/>
      <c r="H213" s="21"/>
      <c r="I213" s="21"/>
      <c r="J213" s="21"/>
      <c r="K213" s="21"/>
      <c r="L213" s="21"/>
      <c r="M213" s="188"/>
      <c r="N213" s="23"/>
      <c r="O213" s="23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3"/>
      <c r="AC213" s="23"/>
      <c r="AD213" s="7"/>
    </row>
    <row r="214" spans="1:30" s="6" customFormat="1" ht="16" customHeight="1" outlineLevel="1" x14ac:dyDescent="0.2">
      <c r="A214" s="70"/>
      <c r="C214" s="58"/>
      <c r="D214" s="58"/>
      <c r="E214" s="58"/>
      <c r="F214" s="56"/>
      <c r="G214" s="21"/>
      <c r="H214" s="21"/>
      <c r="I214" s="21"/>
      <c r="J214" s="21"/>
      <c r="K214" s="21"/>
      <c r="L214" s="21"/>
      <c r="M214" s="192" t="s">
        <v>314</v>
      </c>
      <c r="N214" s="51" t="s">
        <v>315</v>
      </c>
      <c r="O214" s="51">
        <v>8</v>
      </c>
      <c r="P214" s="50">
        <v>1792</v>
      </c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3"/>
      <c r="AC214" s="23"/>
      <c r="AD214" s="7"/>
    </row>
    <row r="215" spans="1:30" s="6" customFormat="1" ht="32" customHeight="1" outlineLevel="1" x14ac:dyDescent="0.2">
      <c r="A215" s="70"/>
      <c r="C215" s="58"/>
      <c r="D215" s="58"/>
      <c r="E215" s="58"/>
      <c r="F215" s="56"/>
      <c r="G215" s="21"/>
      <c r="H215" s="21"/>
      <c r="I215" s="21"/>
      <c r="J215" s="21"/>
      <c r="K215" s="21"/>
      <c r="L215" s="21"/>
      <c r="M215" s="192" t="s">
        <v>316</v>
      </c>
      <c r="N215" s="51" t="s">
        <v>317</v>
      </c>
      <c r="O215" s="51">
        <v>15</v>
      </c>
      <c r="P215" s="50">
        <v>3360</v>
      </c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3"/>
      <c r="AC215" s="23"/>
      <c r="AD215" s="7"/>
    </row>
    <row r="216" spans="1:30" s="6" customFormat="1" ht="32" customHeight="1" outlineLevel="1" x14ac:dyDescent="0.2">
      <c r="A216" s="70"/>
      <c r="C216" s="58"/>
      <c r="D216" s="58"/>
      <c r="E216" s="58"/>
      <c r="F216" s="56"/>
      <c r="G216" s="21"/>
      <c r="H216" s="21"/>
      <c r="I216" s="21"/>
      <c r="J216" s="21"/>
      <c r="K216" s="21"/>
      <c r="L216" s="21"/>
      <c r="M216" s="192" t="s">
        <v>20</v>
      </c>
      <c r="N216" s="51" t="s">
        <v>318</v>
      </c>
      <c r="O216" s="51">
        <v>44</v>
      </c>
      <c r="P216" s="50">
        <v>9856</v>
      </c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3"/>
      <c r="AC216" s="23"/>
      <c r="AD216" s="7"/>
    </row>
    <row r="217" spans="1:30" s="6" customFormat="1" ht="3" customHeight="1" outlineLevel="1" x14ac:dyDescent="0.2">
      <c r="A217" s="70"/>
      <c r="C217" s="58"/>
      <c r="D217" s="58"/>
      <c r="E217" s="58"/>
      <c r="F217" s="56"/>
      <c r="G217" s="21"/>
      <c r="H217" s="21"/>
      <c r="I217" s="21"/>
      <c r="J217" s="21"/>
      <c r="K217" s="21"/>
      <c r="L217" s="21"/>
      <c r="M217" s="238" t="s">
        <v>319</v>
      </c>
      <c r="N217" s="239" t="s">
        <v>320</v>
      </c>
      <c r="O217" s="239">
        <v>30</v>
      </c>
      <c r="P217" s="240">
        <v>6720</v>
      </c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3"/>
      <c r="AC217" s="23"/>
      <c r="AD217" s="7"/>
    </row>
    <row r="218" spans="1:30" s="6" customFormat="1" ht="16" customHeight="1" outlineLevel="1" x14ac:dyDescent="0.2">
      <c r="A218" s="70"/>
      <c r="C218" s="58"/>
      <c r="D218" s="58"/>
      <c r="E218" s="58"/>
      <c r="F218" s="56"/>
      <c r="G218" s="21"/>
      <c r="H218" s="21"/>
      <c r="I218" s="21"/>
      <c r="J218" s="21"/>
      <c r="K218" s="21"/>
      <c r="L218" s="21"/>
      <c r="M218" s="241" t="s">
        <v>321</v>
      </c>
      <c r="N218" s="242" t="s">
        <v>322</v>
      </c>
      <c r="O218" s="243">
        <v>5</v>
      </c>
      <c r="P218" s="243">
        <v>1120</v>
      </c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3"/>
      <c r="AC218" s="23"/>
      <c r="AD218" s="7"/>
    </row>
    <row r="219" spans="1:30" s="6" customFormat="1" ht="16" customHeight="1" outlineLevel="1" x14ac:dyDescent="0.2">
      <c r="A219" s="70"/>
      <c r="C219" s="58"/>
      <c r="D219" s="58"/>
      <c r="E219" s="58"/>
      <c r="F219" s="56"/>
      <c r="G219" s="21"/>
      <c r="H219" s="21"/>
      <c r="I219" s="21"/>
      <c r="J219" s="21"/>
      <c r="K219" s="21"/>
      <c r="L219" s="21"/>
      <c r="M219" s="192" t="s">
        <v>323</v>
      </c>
      <c r="N219" s="51" t="s">
        <v>324</v>
      </c>
      <c r="O219" s="51">
        <v>5</v>
      </c>
      <c r="P219" s="50">
        <v>1120</v>
      </c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3"/>
      <c r="AC219" s="23"/>
      <c r="AD219" s="7"/>
    </row>
    <row r="220" spans="1:30" s="6" customFormat="1" ht="20.25" customHeight="1" outlineLevel="1" x14ac:dyDescent="0.2">
      <c r="A220" s="70"/>
      <c r="C220" s="56"/>
      <c r="D220" s="56"/>
      <c r="E220" s="56"/>
      <c r="F220" s="56"/>
      <c r="G220" s="35"/>
      <c r="H220" s="35"/>
      <c r="I220" s="35"/>
      <c r="J220" s="35"/>
      <c r="K220" s="35"/>
      <c r="L220" s="35"/>
      <c r="M220" s="18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7"/>
    </row>
    <row r="221" spans="1:30" ht="15" customHeight="1" x14ac:dyDescent="0.2">
      <c r="F221" s="56"/>
    </row>
    <row r="222" spans="1:30" s="6" customFormat="1" ht="20.25" customHeight="1" x14ac:dyDescent="0.2">
      <c r="A222" s="70"/>
      <c r="C222" s="56"/>
      <c r="D222" s="56"/>
      <c r="E222" s="56"/>
      <c r="F222" s="56"/>
      <c r="G222" s="293" t="s">
        <v>32</v>
      </c>
      <c r="H222" s="294"/>
      <c r="I222" s="120"/>
      <c r="J222" s="35"/>
      <c r="K222" s="35"/>
      <c r="L222" s="31"/>
      <c r="M222" s="231" t="s">
        <v>325</v>
      </c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7"/>
    </row>
    <row r="223" spans="1:30" outlineLevel="1" x14ac:dyDescent="0.2">
      <c r="F223" s="56"/>
      <c r="G223" s="50"/>
      <c r="H223" s="50"/>
      <c r="I223" s="50"/>
      <c r="J223" s="50"/>
      <c r="K223" s="50"/>
      <c r="L223" s="50"/>
      <c r="M223" s="192"/>
      <c r="N223" s="51"/>
      <c r="O223" s="51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50"/>
      <c r="AB223" s="51"/>
      <c r="AC223" s="23"/>
    </row>
    <row r="224" spans="1:30" outlineLevel="1" x14ac:dyDescent="0.2">
      <c r="F224" s="56"/>
      <c r="G224" s="50">
        <v>1</v>
      </c>
      <c r="H224" s="50"/>
      <c r="I224" s="50"/>
      <c r="J224" s="50"/>
      <c r="K224" s="50"/>
      <c r="L224" s="50"/>
      <c r="M224" s="192"/>
      <c r="N224" s="51"/>
      <c r="O224" s="51"/>
      <c r="P224" s="50"/>
      <c r="Q224" s="321" t="s">
        <v>326</v>
      </c>
      <c r="R224" s="298"/>
      <c r="S224" s="298"/>
      <c r="T224" s="298"/>
      <c r="U224" s="298"/>
      <c r="V224" s="298"/>
      <c r="W224" s="164"/>
      <c r="X224" s="50"/>
      <c r="Y224" s="50"/>
      <c r="Z224" s="50"/>
      <c r="AA224" s="50"/>
      <c r="AB224" s="51"/>
      <c r="AC224" s="23"/>
    </row>
    <row r="225" spans="2:29" ht="15" customHeight="1" outlineLevel="1" x14ac:dyDescent="0.2">
      <c r="B225" s="13" t="str">
        <f>IF(OR(COUNTBLANK(Q225:W225)&lt;&gt;0,SUM(Q225:W225)=0), ".", "")</f>
        <v/>
      </c>
      <c r="F225" s="56"/>
      <c r="G225" s="50">
        <v>2</v>
      </c>
      <c r="H225" s="50"/>
      <c r="I225" s="50"/>
      <c r="J225" s="50"/>
      <c r="K225" s="50"/>
      <c r="L225" s="50"/>
      <c r="M225" s="192"/>
      <c r="N225" s="51"/>
      <c r="O225" s="297">
        <f>TOTAL_EFFORT</f>
        <v>445</v>
      </c>
      <c r="P225" s="297">
        <f>TOTAL_COST</f>
        <v>99680</v>
      </c>
      <c r="Q225" s="42">
        <f t="shared" ref="Q225:V225" si="11">28 * 8</f>
        <v>224</v>
      </c>
      <c r="R225" s="42">
        <f t="shared" si="11"/>
        <v>224</v>
      </c>
      <c r="S225" s="42">
        <f t="shared" si="11"/>
        <v>224</v>
      </c>
      <c r="T225" s="42">
        <f t="shared" si="11"/>
        <v>224</v>
      </c>
      <c r="U225" s="42">
        <f t="shared" si="11"/>
        <v>224</v>
      </c>
      <c r="V225" s="42">
        <f t="shared" si="11"/>
        <v>224</v>
      </c>
      <c r="W225" s="317" t="str">
        <f>CHOSEN_CURRENCY</f>
        <v>USD</v>
      </c>
      <c r="X225" s="294"/>
      <c r="Y225" s="50"/>
      <c r="Z225" s="50"/>
      <c r="AA225" s="50"/>
      <c r="AB225" s="51"/>
      <c r="AC225" s="23"/>
    </row>
    <row r="226" spans="2:29" ht="15" customHeight="1" outlineLevel="1" x14ac:dyDescent="0.2">
      <c r="F226" s="56"/>
      <c r="G226" s="50">
        <v>3</v>
      </c>
      <c r="H226" s="50"/>
      <c r="I226" s="50"/>
      <c r="J226" s="50"/>
      <c r="K226" s="50"/>
      <c r="L226" s="50"/>
      <c r="M226" s="192"/>
      <c r="N226" s="51"/>
      <c r="O226" s="298"/>
      <c r="P226" s="298"/>
      <c r="Q226" s="193" t="s">
        <v>327</v>
      </c>
      <c r="R226" s="193" t="s">
        <v>328</v>
      </c>
      <c r="S226" s="193" t="s">
        <v>329</v>
      </c>
      <c r="T226" s="193" t="s">
        <v>330</v>
      </c>
      <c r="U226" s="193" t="s">
        <v>331</v>
      </c>
      <c r="V226" s="194" t="s">
        <v>332</v>
      </c>
      <c r="W226" s="318"/>
      <c r="X226" s="298"/>
      <c r="Y226" s="50"/>
      <c r="Z226" s="50"/>
      <c r="AA226" s="50"/>
      <c r="AB226" s="51"/>
      <c r="AC226" s="23"/>
    </row>
    <row r="227" spans="2:29" ht="15" customHeight="1" outlineLevel="1" x14ac:dyDescent="0.2">
      <c r="B227" s="13" t="str">
        <f t="shared" ref="B227:B232" si="12">IF(SUM(Q227:V227)&lt;&gt;1,".","")</f>
        <v/>
      </c>
      <c r="F227" s="56"/>
      <c r="G227" s="50">
        <v>4</v>
      </c>
      <c r="H227" s="50"/>
      <c r="I227" s="50"/>
      <c r="J227" s="50"/>
      <c r="K227" s="50"/>
      <c r="L227" s="53" t="s">
        <v>333</v>
      </c>
      <c r="M227" s="192" t="str">
        <f>$L$12</f>
        <v>A</v>
      </c>
      <c r="N227" s="51" t="str">
        <f>$M$12</f>
        <v>Discovery / Requirement Analysis</v>
      </c>
      <c r="O227" s="244">
        <f>S12</f>
        <v>116</v>
      </c>
      <c r="P227" s="245">
        <f>ROUND(REQ_EFFORT/5,0)</f>
        <v>23</v>
      </c>
      <c r="Q227" s="77">
        <v>0.85</v>
      </c>
      <c r="R227" s="174">
        <v>0.1</v>
      </c>
      <c r="S227" s="37"/>
      <c r="T227" s="37"/>
      <c r="U227" s="37"/>
      <c r="V227" s="38">
        <v>0.05</v>
      </c>
      <c r="W227" s="304">
        <f t="shared" ref="W227:W232" si="13">(($O227*Q227)*Q$225)+(($O227*R227)*R$225)+(($O227*S227)*S$225)+(($O227*T227)*T$225)+(($O227*U227)*U$225)+(($O227*V227)*V$225)</f>
        <v>25984</v>
      </c>
      <c r="X227" s="305"/>
      <c r="Y227" s="50"/>
      <c r="Z227" s="50"/>
      <c r="AA227" s="50"/>
      <c r="AB227" s="51"/>
      <c r="AC227" s="23"/>
    </row>
    <row r="228" spans="2:29" ht="16" customHeight="1" outlineLevel="1" x14ac:dyDescent="0.2">
      <c r="B228" s="13" t="str">
        <f t="shared" si="12"/>
        <v/>
      </c>
      <c r="F228" s="56"/>
      <c r="G228" s="50">
        <v>5</v>
      </c>
      <c r="H228" s="50"/>
      <c r="I228" s="50"/>
      <c r="J228" s="50"/>
      <c r="K228" s="50"/>
      <c r="L228" s="53" t="s">
        <v>334</v>
      </c>
      <c r="M228" s="192" t="str">
        <f>$L$65</f>
        <v>B</v>
      </c>
      <c r="N228" s="51" t="str">
        <f>$M$65</f>
        <v>System Design, Framework and Test Cases</v>
      </c>
      <c r="O228" s="244">
        <f>S65</f>
        <v>53</v>
      </c>
      <c r="P228" s="245">
        <f>ROUND(DESIGN_EFFORT/5,0)</f>
        <v>11</v>
      </c>
      <c r="Q228" s="37"/>
      <c r="R228" s="175">
        <v>0.7</v>
      </c>
      <c r="S228" s="36">
        <v>0.2</v>
      </c>
      <c r="T228" s="37"/>
      <c r="U228" s="36">
        <v>0.1</v>
      </c>
      <c r="V228" s="39"/>
      <c r="W228" s="304">
        <f t="shared" si="13"/>
        <v>11872</v>
      </c>
      <c r="X228" s="305"/>
      <c r="Y228" s="50"/>
      <c r="Z228" s="50"/>
      <c r="AA228" s="50"/>
      <c r="AB228" s="51"/>
      <c r="AC228" s="23"/>
    </row>
    <row r="229" spans="2:29" ht="16" customHeight="1" outlineLevel="1" x14ac:dyDescent="0.2">
      <c r="B229" s="13" t="str">
        <f t="shared" si="12"/>
        <v/>
      </c>
      <c r="F229" s="56"/>
      <c r="G229" s="50">
        <v>6</v>
      </c>
      <c r="H229" s="50"/>
      <c r="I229" s="50"/>
      <c r="J229" s="50"/>
      <c r="K229" s="50"/>
      <c r="L229" s="53" t="s">
        <v>335</v>
      </c>
      <c r="M229" s="192" t="str">
        <f>$L$95</f>
        <v>C</v>
      </c>
      <c r="N229" s="51" t="str">
        <f>$M$95</f>
        <v>Development and Unit Testing</v>
      </c>
      <c r="O229" s="244">
        <f>S95</f>
        <v>104</v>
      </c>
      <c r="P229" s="245">
        <f>ROUND(DEV_EFFORT/5,0)</f>
        <v>21</v>
      </c>
      <c r="Q229" s="37"/>
      <c r="R229" s="174"/>
      <c r="S229" s="36">
        <v>0.3</v>
      </c>
      <c r="T229" s="77">
        <v>0.7</v>
      </c>
      <c r="U229" s="37"/>
      <c r="V229" s="39"/>
      <c r="W229" s="304">
        <f t="shared" si="13"/>
        <v>23296</v>
      </c>
      <c r="X229" s="305"/>
      <c r="Y229" s="50"/>
      <c r="Z229" s="50"/>
      <c r="AA229" s="50"/>
      <c r="AB229" s="51"/>
      <c r="AC229" s="23"/>
    </row>
    <row r="230" spans="2:29" ht="16" customHeight="1" outlineLevel="1" x14ac:dyDescent="0.2">
      <c r="B230" s="13" t="str">
        <f t="shared" si="12"/>
        <v/>
      </c>
      <c r="F230" s="56"/>
      <c r="G230" s="50">
        <v>7</v>
      </c>
      <c r="H230" s="50"/>
      <c r="I230" s="50"/>
      <c r="J230" s="50"/>
      <c r="K230" s="50"/>
      <c r="L230" s="53" t="s">
        <v>331</v>
      </c>
      <c r="M230" s="192" t="str">
        <f>$L$135</f>
        <v>D</v>
      </c>
      <c r="N230" s="51" t="str">
        <f>$M$135</f>
        <v>System Testing and Stabilization</v>
      </c>
      <c r="O230" s="244">
        <f>S135</f>
        <v>109</v>
      </c>
      <c r="P230" s="245">
        <f>ROUND(QA_EFFORT/5,0)</f>
        <v>22</v>
      </c>
      <c r="Q230" s="37"/>
      <c r="R230" s="174"/>
      <c r="S230" s="36">
        <v>0.1</v>
      </c>
      <c r="T230" s="36">
        <v>0.1</v>
      </c>
      <c r="U230" s="77">
        <v>0.8</v>
      </c>
      <c r="V230" s="39"/>
      <c r="W230" s="304">
        <f t="shared" si="13"/>
        <v>24416</v>
      </c>
      <c r="X230" s="305"/>
      <c r="Y230" s="50"/>
      <c r="Z230" s="50"/>
      <c r="AA230" s="50"/>
      <c r="AB230" s="51"/>
      <c r="AC230" s="23"/>
    </row>
    <row r="231" spans="2:29" ht="16" customHeight="1" outlineLevel="1" x14ac:dyDescent="0.2">
      <c r="B231" s="13" t="str">
        <f t="shared" si="12"/>
        <v/>
      </c>
      <c r="F231" s="56"/>
      <c r="G231" s="50">
        <v>8</v>
      </c>
      <c r="H231" s="50"/>
      <c r="I231" s="50"/>
      <c r="J231" s="50"/>
      <c r="K231" s="50"/>
      <c r="L231" s="53" t="s">
        <v>336</v>
      </c>
      <c r="M231" s="192" t="str">
        <f>$L$173</f>
        <v>E</v>
      </c>
      <c r="N231" s="51" t="str">
        <f>$M$173</f>
        <v>Deployment, UAT and Documentation</v>
      </c>
      <c r="O231" s="244">
        <f>S173</f>
        <v>22</v>
      </c>
      <c r="P231" s="245">
        <f>ROUND(UAT_EFFORT/5,0)</f>
        <v>4</v>
      </c>
      <c r="Q231" s="37"/>
      <c r="R231" s="174"/>
      <c r="S231" s="36">
        <v>0.4</v>
      </c>
      <c r="T231" s="77">
        <v>0.4</v>
      </c>
      <c r="U231" s="36">
        <v>0.2</v>
      </c>
      <c r="V231" s="39"/>
      <c r="W231" s="304">
        <f t="shared" si="13"/>
        <v>4928.0000000000009</v>
      </c>
      <c r="X231" s="305"/>
      <c r="Y231" s="50"/>
      <c r="Z231" s="50"/>
      <c r="AA231" s="50"/>
      <c r="AB231" s="51"/>
      <c r="AC231" s="23"/>
    </row>
    <row r="232" spans="2:29" ht="16" customHeight="1" outlineLevel="1" x14ac:dyDescent="0.2">
      <c r="B232" s="13" t="str">
        <f t="shared" si="12"/>
        <v/>
      </c>
      <c r="F232" s="56"/>
      <c r="G232" s="50">
        <v>9</v>
      </c>
      <c r="H232" s="50"/>
      <c r="I232" s="50"/>
      <c r="J232" s="50"/>
      <c r="K232" s="50"/>
      <c r="L232" s="53" t="s">
        <v>303</v>
      </c>
      <c r="M232" s="192" t="str">
        <f>$L$196</f>
        <v>F</v>
      </c>
      <c r="N232" s="51" t="str">
        <f>$M$196</f>
        <v>Others</v>
      </c>
      <c r="O232" s="244">
        <f>S196</f>
        <v>41</v>
      </c>
      <c r="P232" s="245">
        <f>ROUND(OTHER_EFFORT/5,0)</f>
        <v>8</v>
      </c>
      <c r="Q232" s="37"/>
      <c r="R232" s="174">
        <v>0.2</v>
      </c>
      <c r="S232" s="77">
        <v>0.8</v>
      </c>
      <c r="T232" s="37"/>
      <c r="U232" s="37"/>
      <c r="V232" s="39"/>
      <c r="W232" s="315">
        <f t="shared" si="13"/>
        <v>9184</v>
      </c>
      <c r="X232" s="316"/>
      <c r="Y232" s="50"/>
      <c r="Z232" s="50"/>
      <c r="AA232" s="50"/>
      <c r="AB232" s="51"/>
      <c r="AC232" s="23"/>
    </row>
    <row r="233" spans="2:29" ht="21" customHeight="1" outlineLevel="1" x14ac:dyDescent="0.2">
      <c r="F233" s="56"/>
      <c r="G233" s="50">
        <v>10</v>
      </c>
      <c r="H233" s="50"/>
      <c r="I233" s="50"/>
      <c r="J233" s="50"/>
      <c r="K233" s="50"/>
      <c r="L233" s="50"/>
      <c r="M233" s="192"/>
      <c r="N233" s="51"/>
      <c r="O233" s="246">
        <f>SUM(O227:O232)</f>
        <v>445</v>
      </c>
      <c r="P233" s="247">
        <f>SUM(P227:P232)</f>
        <v>89</v>
      </c>
      <c r="Q233" s="319" t="s">
        <v>337</v>
      </c>
      <c r="R233" s="311"/>
      <c r="S233" s="311"/>
      <c r="T233" s="311"/>
      <c r="U233" s="311"/>
      <c r="V233" s="311"/>
      <c r="W233" s="310">
        <f>SUM(W227:W232)</f>
        <v>99680</v>
      </c>
      <c r="X233" s="311"/>
      <c r="Y233" s="50"/>
      <c r="Z233" s="50"/>
      <c r="AA233" s="50"/>
      <c r="AB233" s="51"/>
      <c r="AC233" s="23"/>
    </row>
    <row r="234" spans="2:29" outlineLevel="1" x14ac:dyDescent="0.2">
      <c r="F234" s="56"/>
      <c r="G234" s="50"/>
      <c r="H234" s="50"/>
      <c r="I234" s="50"/>
      <c r="J234" s="50"/>
      <c r="K234" s="50"/>
      <c r="L234" s="50"/>
      <c r="M234" s="192"/>
      <c r="N234" s="51"/>
      <c r="O234" s="51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  <c r="AA234" s="50"/>
      <c r="AB234" s="51"/>
      <c r="AC234" s="23"/>
    </row>
    <row r="235" spans="2:29" ht="15" customHeight="1" outlineLevel="1" x14ac:dyDescent="0.2">
      <c r="F235" s="56"/>
      <c r="G235" s="50"/>
      <c r="H235" s="50"/>
      <c r="I235" s="50"/>
      <c r="J235" s="50"/>
      <c r="K235" s="50"/>
      <c r="L235" s="50"/>
      <c r="M235" s="192"/>
      <c r="N235" s="51"/>
      <c r="O235" s="51"/>
      <c r="P235" s="50"/>
      <c r="Q235" s="321" t="s">
        <v>338</v>
      </c>
      <c r="R235" s="298"/>
      <c r="S235" s="298"/>
      <c r="T235" s="298"/>
      <c r="U235" s="298"/>
      <c r="V235" s="298"/>
      <c r="W235" s="324" t="s">
        <v>339</v>
      </c>
      <c r="X235" s="294"/>
      <c r="Y235" s="50"/>
      <c r="Z235" s="50"/>
      <c r="AA235" s="50"/>
      <c r="AB235" s="51"/>
      <c r="AC235" s="23"/>
    </row>
    <row r="236" spans="2:29" ht="15" customHeight="1" outlineLevel="1" x14ac:dyDescent="0.2">
      <c r="F236" s="56"/>
      <c r="G236" s="50"/>
      <c r="H236" s="50"/>
      <c r="I236" s="50"/>
      <c r="J236" s="50"/>
      <c r="K236" s="50"/>
      <c r="L236" s="50"/>
      <c r="M236" s="188"/>
      <c r="N236" s="23"/>
      <c r="O236" s="248" t="s">
        <v>340</v>
      </c>
      <c r="P236" s="249" t="s">
        <v>341</v>
      </c>
      <c r="Q236" s="193" t="s">
        <v>327</v>
      </c>
      <c r="R236" s="193" t="s">
        <v>328</v>
      </c>
      <c r="S236" s="193" t="s">
        <v>329</v>
      </c>
      <c r="T236" s="193" t="s">
        <v>330</v>
      </c>
      <c r="U236" s="193" t="s">
        <v>331</v>
      </c>
      <c r="V236" s="194" t="s">
        <v>332</v>
      </c>
      <c r="W236" s="294"/>
      <c r="X236" s="294"/>
      <c r="Y236" s="50"/>
      <c r="Z236" s="76"/>
      <c r="AA236" s="76"/>
      <c r="AB236" s="76"/>
      <c r="AC236" s="76"/>
    </row>
    <row r="237" spans="2:29" ht="15" customHeight="1" outlineLevel="1" x14ac:dyDescent="0.2">
      <c r="F237" s="56"/>
      <c r="G237" s="50"/>
      <c r="H237" s="50"/>
      <c r="I237" s="50"/>
      <c r="J237" s="50"/>
      <c r="K237" s="50"/>
      <c r="L237" s="50"/>
      <c r="M237" s="192" t="str">
        <f>$L$12</f>
        <v>A</v>
      </c>
      <c r="N237" s="51" t="str">
        <f>$M$12</f>
        <v>Discovery / Requirement Analysis</v>
      </c>
      <c r="O237" s="79">
        <v>46174</v>
      </c>
      <c r="P237" s="250">
        <f>O237+(((P227*REQ_BA_PERCENT)/REQ_BA_COUNT)*7)</f>
        <v>46242.425000000003</v>
      </c>
      <c r="Q237" s="78">
        <v>2</v>
      </c>
      <c r="R237" s="146">
        <v>1</v>
      </c>
      <c r="S237" s="75"/>
      <c r="T237" s="75"/>
      <c r="U237" s="75"/>
      <c r="V237" s="43">
        <v>1</v>
      </c>
      <c r="W237" s="168">
        <v>0.75</v>
      </c>
      <c r="X237" s="50"/>
      <c r="Y237" s="312" t="s">
        <v>342</v>
      </c>
      <c r="Z237" s="294"/>
      <c r="AA237" s="294"/>
      <c r="AB237" s="51"/>
      <c r="AC237" s="23"/>
    </row>
    <row r="238" spans="2:29" ht="16" customHeight="1" outlineLevel="1" x14ac:dyDescent="0.2">
      <c r="F238" s="56"/>
      <c r="G238" s="50"/>
      <c r="H238" s="50"/>
      <c r="I238" s="50"/>
      <c r="J238" s="50"/>
      <c r="K238" s="50"/>
      <c r="L238" s="50"/>
      <c r="M238" s="192" t="str">
        <f>$L$65</f>
        <v>B</v>
      </c>
      <c r="N238" s="51" t="str">
        <f>$M$65</f>
        <v>System Design, Framework and Test Cases</v>
      </c>
      <c r="O238" s="251">
        <f>O237+((P237-O237)*W237)+1</f>
        <v>46226.318750000006</v>
      </c>
      <c r="P238" s="250">
        <f>O238+(((P228*DESIGN_TA_PERCENT)/DESIGN_TA_COUNT)*7)</f>
        <v>46244.285416666673</v>
      </c>
      <c r="Q238" s="75">
        <v>1</v>
      </c>
      <c r="R238" s="147">
        <v>3</v>
      </c>
      <c r="S238" s="75">
        <v>1</v>
      </c>
      <c r="T238" s="75"/>
      <c r="U238" s="75">
        <v>1</v>
      </c>
      <c r="V238" s="43"/>
      <c r="W238" s="169">
        <v>0.75</v>
      </c>
      <c r="X238" s="50"/>
      <c r="Y238" s="294"/>
      <c r="Z238" s="294"/>
      <c r="AA238" s="294"/>
      <c r="AB238" s="51"/>
      <c r="AC238" s="23"/>
    </row>
    <row r="239" spans="2:29" ht="16" customHeight="1" outlineLevel="1" x14ac:dyDescent="0.2">
      <c r="F239" s="56"/>
      <c r="G239" s="50"/>
      <c r="H239" s="50"/>
      <c r="I239" s="50"/>
      <c r="J239" s="50"/>
      <c r="K239" s="50"/>
      <c r="L239" s="50"/>
      <c r="M239" s="192" t="str">
        <f>$L$95</f>
        <v>C</v>
      </c>
      <c r="N239" s="51" t="str">
        <f>$M$95</f>
        <v>Development and Unit Testing</v>
      </c>
      <c r="O239" s="251">
        <f>O238+((P238-O238)*W238)+1</f>
        <v>46240.793750000004</v>
      </c>
      <c r="P239" s="250">
        <f>O239+(((P229*DEV_DEV_PERCENT)/DEV_DEV_COUNT)*7)</f>
        <v>46292.243750000001</v>
      </c>
      <c r="Q239" s="75"/>
      <c r="R239" s="146"/>
      <c r="S239" s="75">
        <v>1</v>
      </c>
      <c r="T239" s="78">
        <v>2</v>
      </c>
      <c r="U239" s="75"/>
      <c r="V239" s="43"/>
      <c r="W239" s="168">
        <v>0.75</v>
      </c>
      <c r="X239" s="50"/>
      <c r="Y239" s="294"/>
      <c r="Z239" s="294"/>
      <c r="AA239" s="294"/>
      <c r="AB239" s="51"/>
      <c r="AC239" s="23"/>
    </row>
    <row r="240" spans="2:29" ht="16" customHeight="1" outlineLevel="1" x14ac:dyDescent="0.2">
      <c r="F240" s="56"/>
      <c r="G240" s="50"/>
      <c r="H240" s="50"/>
      <c r="I240" s="50"/>
      <c r="J240" s="50"/>
      <c r="K240" s="50"/>
      <c r="L240" s="50"/>
      <c r="M240" s="192" t="str">
        <f>$L$135</f>
        <v>D</v>
      </c>
      <c r="N240" s="51" t="str">
        <f>$M$135</f>
        <v>System Testing and Stabilization</v>
      </c>
      <c r="O240" s="251">
        <f>O239+((P239-O239)*W239)+1</f>
        <v>46280.381250000006</v>
      </c>
      <c r="P240" s="250">
        <f>O240+(((P230*TESTING_QA_PERCENT)/TESTING_QA_COUNT)*7)</f>
        <v>46341.981250000004</v>
      </c>
      <c r="Q240" s="75"/>
      <c r="R240" s="146"/>
      <c r="S240" s="75">
        <v>1</v>
      </c>
      <c r="T240" s="75">
        <v>2</v>
      </c>
      <c r="U240" s="78">
        <v>2</v>
      </c>
      <c r="V240" s="165"/>
      <c r="W240" s="168">
        <v>1</v>
      </c>
      <c r="X240" s="50"/>
      <c r="Y240" s="294"/>
      <c r="Z240" s="294"/>
      <c r="AA240" s="294"/>
      <c r="AB240" s="51"/>
      <c r="AC240" s="23"/>
    </row>
    <row r="241" spans="1:30" ht="16" customHeight="1" outlineLevel="1" x14ac:dyDescent="0.2">
      <c r="F241" s="56"/>
      <c r="G241" s="50"/>
      <c r="H241" s="50"/>
      <c r="I241" s="50"/>
      <c r="J241" s="50"/>
      <c r="K241" s="50"/>
      <c r="L241" s="50"/>
      <c r="M241" s="192" t="str">
        <f>$L$173</f>
        <v>E</v>
      </c>
      <c r="N241" s="51" t="str">
        <f>$M$173</f>
        <v>Deployment, UAT and Documentation</v>
      </c>
      <c r="O241" s="251">
        <f>O240+((P240-O240)*W240)+1</f>
        <v>46342.981250000004</v>
      </c>
      <c r="P241" s="250">
        <f>O241+(((P231*UAT_DEV_PERCENT)/UAT_DEV_COUNT)*7)</f>
        <v>46354.181250000001</v>
      </c>
      <c r="Q241" s="75"/>
      <c r="R241" s="146"/>
      <c r="S241" s="75">
        <v>1</v>
      </c>
      <c r="T241" s="78">
        <v>1</v>
      </c>
      <c r="U241" s="75">
        <v>1</v>
      </c>
      <c r="V241" s="43"/>
      <c r="W241" s="168">
        <v>1</v>
      </c>
      <c r="X241" s="50"/>
      <c r="Y241" s="294"/>
      <c r="Z241" s="294"/>
      <c r="AA241" s="294"/>
      <c r="AB241" s="51"/>
      <c r="AC241" s="23"/>
    </row>
    <row r="242" spans="1:30" ht="16" customHeight="1" outlineLevel="1" x14ac:dyDescent="0.2">
      <c r="F242" s="56"/>
      <c r="G242" s="50"/>
      <c r="H242" s="50"/>
      <c r="I242" s="50"/>
      <c r="J242" s="50"/>
      <c r="K242" s="50"/>
      <c r="L242" s="50"/>
      <c r="M242" s="192" t="str">
        <f>$L$196</f>
        <v>F</v>
      </c>
      <c r="N242" s="51" t="str">
        <f>$M$196</f>
        <v>Others</v>
      </c>
      <c r="O242" s="252">
        <f>O241+((P241-O241)*W241)+1</f>
        <v>46355.181250000001</v>
      </c>
      <c r="P242" s="253">
        <f>O242+(((P232*OTHER_TL_PERCENT)/OTHER_TL_COUNT)*7)</f>
        <v>46399.981250000004</v>
      </c>
      <c r="Q242" s="83"/>
      <c r="R242" s="148">
        <v>0.5</v>
      </c>
      <c r="S242" s="84">
        <v>1</v>
      </c>
      <c r="T242" s="83"/>
      <c r="U242" s="83"/>
      <c r="V242" s="85"/>
      <c r="W242" s="166"/>
      <c r="X242" s="50"/>
      <c r="Y242" s="50"/>
      <c r="Z242" s="50"/>
      <c r="AA242" s="50"/>
      <c r="AB242" s="51"/>
      <c r="AC242" s="23"/>
    </row>
    <row r="243" spans="1:30" ht="15.5" customHeight="1" outlineLevel="1" x14ac:dyDescent="0.2">
      <c r="F243" s="56"/>
      <c r="G243" s="50">
        <v>1</v>
      </c>
      <c r="H243" s="50"/>
      <c r="I243" s="50"/>
      <c r="J243" s="50"/>
      <c r="K243" s="50"/>
      <c r="L243" s="21"/>
      <c r="M243" s="188"/>
      <c r="N243" s="21"/>
      <c r="O243" s="254" t="s">
        <v>343</v>
      </c>
      <c r="P243" s="255">
        <f>NETWORKDAYS(START_DATE,AUTOMATED_END_DATE)/5</f>
        <v>32.4</v>
      </c>
      <c r="Q243" s="256" t="s">
        <v>344</v>
      </c>
      <c r="R243" s="86"/>
      <c r="S243" s="257" t="s">
        <v>345</v>
      </c>
      <c r="T243" s="295">
        <f>AUTOMATED_END_DATE</f>
        <v>46399.981250000004</v>
      </c>
      <c r="U243" s="294"/>
      <c r="V243" s="167"/>
      <c r="W243" s="167"/>
      <c r="X243" s="167"/>
      <c r="Y243" s="21"/>
      <c r="Z243" s="21"/>
      <c r="AA243" s="21"/>
      <c r="AB243" s="23"/>
      <c r="AC243" s="23"/>
    </row>
    <row r="244" spans="1:30" ht="15.5" customHeight="1" outlineLevel="1" x14ac:dyDescent="0.2">
      <c r="F244" s="56"/>
      <c r="G244" s="50">
        <v>2</v>
      </c>
      <c r="H244" s="50"/>
      <c r="I244" s="50"/>
      <c r="J244" s="50"/>
      <c r="K244" s="50"/>
      <c r="L244" s="21"/>
      <c r="M244" s="188"/>
      <c r="N244" s="21"/>
      <c r="O244" s="254" t="s">
        <v>346</v>
      </c>
      <c r="P244" s="255">
        <f>NETWORKDAYS(START_DATE,MANUAL_END_DATE)/5</f>
        <v>32</v>
      </c>
      <c r="Q244" s="256" t="s">
        <v>344</v>
      </c>
      <c r="R244" s="82"/>
      <c r="S244" s="257" t="s">
        <v>345</v>
      </c>
      <c r="T244" s="295">
        <f>MANUAL_END_DATE</f>
        <v>46395</v>
      </c>
      <c r="U244" s="294"/>
      <c r="V244" s="167"/>
      <c r="W244" s="167"/>
      <c r="X244" s="167"/>
      <c r="Y244" s="21"/>
      <c r="Z244" s="21"/>
      <c r="AA244" s="21"/>
      <c r="AB244" s="23"/>
      <c r="AC244" s="23"/>
    </row>
    <row r="245" spans="1:30" ht="15" customHeight="1" outlineLevel="1" x14ac:dyDescent="0.2">
      <c r="F245" s="56"/>
      <c r="G245" s="50"/>
      <c r="H245" s="50"/>
      <c r="I245" s="50"/>
      <c r="J245" s="50"/>
      <c r="K245" s="50"/>
      <c r="L245" s="21"/>
      <c r="M245" s="188"/>
      <c r="N245" s="21"/>
      <c r="O245" s="80"/>
      <c r="P245" s="52"/>
      <c r="Q245" s="8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3"/>
      <c r="AC245" s="23"/>
    </row>
    <row r="246" spans="1:30" ht="16" customHeight="1" outlineLevel="1" x14ac:dyDescent="0.2">
      <c r="F246" s="56"/>
      <c r="G246" s="50">
        <v>3</v>
      </c>
      <c r="H246" s="50"/>
      <c r="I246" s="50"/>
      <c r="J246" s="50"/>
      <c r="K246" s="50"/>
      <c r="L246" s="21"/>
      <c r="M246" s="188"/>
      <c r="N246" s="23"/>
      <c r="O246" s="23"/>
      <c r="P246" s="21"/>
      <c r="Q246" s="21"/>
      <c r="R246" s="21"/>
      <c r="S246" s="176" t="s">
        <v>347</v>
      </c>
      <c r="T246" s="258" t="s">
        <v>348</v>
      </c>
      <c r="U246" s="21"/>
      <c r="V246" s="21"/>
      <c r="W246" s="21"/>
      <c r="X246" s="21"/>
      <c r="Y246" s="21"/>
      <c r="Z246" s="21"/>
      <c r="AA246" s="21"/>
      <c r="AB246" s="23"/>
      <c r="AC246" s="23"/>
    </row>
    <row r="247" spans="1:30" outlineLevel="1" x14ac:dyDescent="0.2">
      <c r="F247" s="56"/>
      <c r="G247" s="50"/>
      <c r="H247" s="50"/>
      <c r="I247" s="50"/>
      <c r="J247" s="50"/>
      <c r="K247" s="50"/>
      <c r="L247" s="21"/>
      <c r="M247" s="188"/>
      <c r="N247" s="23"/>
      <c r="O247" s="23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3"/>
      <c r="AC247" s="23"/>
    </row>
    <row r="248" spans="1:30" s="6" customFormat="1" ht="20.25" customHeight="1" outlineLevel="1" x14ac:dyDescent="0.2">
      <c r="A248" s="70"/>
      <c r="C248" s="56"/>
      <c r="D248" s="56"/>
      <c r="E248" s="56"/>
      <c r="F248" s="56"/>
      <c r="G248" s="35"/>
      <c r="H248" s="35"/>
      <c r="I248" s="35"/>
      <c r="J248" s="35"/>
      <c r="K248" s="35"/>
      <c r="L248" s="35"/>
      <c r="M248" s="18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7"/>
    </row>
    <row r="249" spans="1:30" s="6" customFormat="1" x14ac:dyDescent="0.2">
      <c r="A249" s="70"/>
      <c r="C249" s="58"/>
      <c r="D249" s="58"/>
      <c r="E249" s="58"/>
      <c r="F249" s="56"/>
      <c r="M249" s="180"/>
      <c r="N249" s="7"/>
      <c r="O249" s="7"/>
      <c r="AB249" s="7"/>
      <c r="AC249" s="7"/>
      <c r="AD249" s="7"/>
    </row>
    <row r="250" spans="1:30" s="6" customFormat="1" ht="20.25" customHeight="1" x14ac:dyDescent="0.2">
      <c r="A250" s="70"/>
      <c r="C250" s="56"/>
      <c r="D250" s="56"/>
      <c r="E250" s="56"/>
      <c r="F250" s="56"/>
      <c r="G250" s="293" t="s">
        <v>32</v>
      </c>
      <c r="H250" s="294"/>
      <c r="I250" s="120"/>
      <c r="J250" s="35"/>
      <c r="K250" s="35"/>
      <c r="L250" s="31"/>
      <c r="M250" s="231" t="s">
        <v>349</v>
      </c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259" t="str">
        <f>TEMPLATE_NAME&amp;" "&amp;TEMPLATE_VER</f>
        <v>AG Estimation Template -  Version 2.0.4</v>
      </c>
      <c r="AC250" s="31"/>
      <c r="AD250" s="7"/>
    </row>
    <row r="251" spans="1:30" s="6" customFormat="1" outlineLevel="1" x14ac:dyDescent="0.2">
      <c r="A251" s="70"/>
      <c r="C251" s="58"/>
      <c r="D251" s="58"/>
      <c r="E251" s="58"/>
      <c r="F251" s="56"/>
      <c r="G251" s="21"/>
      <c r="H251" s="21"/>
      <c r="I251" s="21"/>
      <c r="J251" s="21"/>
      <c r="K251" s="21"/>
      <c r="L251" s="21"/>
      <c r="M251" s="188"/>
      <c r="N251" s="23"/>
      <c r="O251" s="23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3"/>
      <c r="AC251" s="23"/>
      <c r="AD251" s="7"/>
    </row>
    <row r="252" spans="1:30" s="6" customFormat="1" ht="15" customHeight="1" outlineLevel="1" x14ac:dyDescent="0.2">
      <c r="A252" s="70"/>
      <c r="C252" s="58"/>
      <c r="D252" s="58"/>
      <c r="E252" s="58"/>
      <c r="F252" s="56"/>
      <c r="G252" s="21"/>
      <c r="H252" s="21"/>
      <c r="I252" s="21"/>
      <c r="J252" s="21"/>
      <c r="K252" s="21"/>
      <c r="L252" s="21"/>
      <c r="M252" s="188"/>
      <c r="N252" s="260" t="s">
        <v>350</v>
      </c>
      <c r="O252" s="23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3"/>
      <c r="AC252" s="23"/>
      <c r="AD252" s="7"/>
    </row>
    <row r="253" spans="1:30" s="6" customFormat="1" ht="14.25" customHeight="1" outlineLevel="1" x14ac:dyDescent="0.2">
      <c r="A253" s="70"/>
      <c r="C253" s="56"/>
      <c r="D253" s="56"/>
      <c r="E253" s="56"/>
      <c r="F253" s="56"/>
      <c r="G253" s="21"/>
      <c r="H253" s="21"/>
      <c r="I253" s="21"/>
      <c r="J253" s="21"/>
      <c r="K253" s="21"/>
      <c r="L253" s="21"/>
      <c r="M253" s="188"/>
      <c r="N253" s="261" t="s">
        <v>351</v>
      </c>
      <c r="O253" s="109" t="s">
        <v>352</v>
      </c>
      <c r="P253" s="127"/>
      <c r="Q253" s="127"/>
      <c r="R253" s="109"/>
      <c r="S253" s="127"/>
      <c r="T253" s="127"/>
      <c r="U253" s="127"/>
      <c r="V253" s="127"/>
      <c r="W253" s="127"/>
      <c r="X253" s="21"/>
      <c r="Y253" s="21"/>
      <c r="Z253" s="21"/>
      <c r="AA253" s="21"/>
      <c r="AB253" s="21"/>
      <c r="AC253" s="23"/>
      <c r="AD253" s="7"/>
    </row>
    <row r="254" spans="1:30" s="6" customFormat="1" ht="14.25" customHeight="1" outlineLevel="1" x14ac:dyDescent="0.2">
      <c r="A254" s="70"/>
      <c r="C254" s="56"/>
      <c r="D254" s="56"/>
      <c r="E254" s="56"/>
      <c r="F254" s="56"/>
      <c r="G254" s="21"/>
      <c r="H254" s="21"/>
      <c r="I254" s="21"/>
      <c r="J254" s="21"/>
      <c r="K254" s="21"/>
      <c r="L254" s="21"/>
      <c r="M254" s="188"/>
      <c r="N254" s="261" t="s">
        <v>353</v>
      </c>
      <c r="O254" s="109" t="s">
        <v>354</v>
      </c>
      <c r="P254" s="127"/>
      <c r="Q254" s="127"/>
      <c r="R254" s="127"/>
      <c r="S254" s="127"/>
      <c r="T254" s="127"/>
      <c r="U254" s="127"/>
      <c r="V254" s="127"/>
      <c r="W254" s="127"/>
      <c r="X254" s="21"/>
      <c r="Y254" s="21"/>
      <c r="Z254" s="21"/>
      <c r="AA254" s="21"/>
      <c r="AB254" s="21"/>
      <c r="AC254" s="23"/>
      <c r="AD254" s="7"/>
    </row>
    <row r="255" spans="1:30" s="6" customFormat="1" ht="14.25" customHeight="1" outlineLevel="1" x14ac:dyDescent="0.2">
      <c r="A255" s="70"/>
      <c r="C255" s="56"/>
      <c r="D255" s="56"/>
      <c r="E255" s="56"/>
      <c r="F255" s="56"/>
      <c r="G255" s="21"/>
      <c r="H255" s="21"/>
      <c r="I255" s="21"/>
      <c r="J255" s="21"/>
      <c r="K255" s="21"/>
      <c r="L255" s="21"/>
      <c r="M255" s="188"/>
      <c r="N255" s="261" t="s">
        <v>355</v>
      </c>
      <c r="O255" s="109" t="s">
        <v>356</v>
      </c>
      <c r="P255" s="127"/>
      <c r="Q255" s="127"/>
      <c r="R255" s="127"/>
      <c r="S255" s="98"/>
      <c r="T255" s="98"/>
      <c r="U255" s="98"/>
      <c r="V255" s="127"/>
      <c r="W255" s="127"/>
      <c r="X255" s="21"/>
      <c r="Y255" s="21"/>
      <c r="Z255" s="21"/>
      <c r="AA255" s="21"/>
      <c r="AB255" s="21"/>
      <c r="AC255" s="23"/>
      <c r="AD255" s="7"/>
    </row>
    <row r="256" spans="1:30" s="6" customFormat="1" ht="14.25" customHeight="1" outlineLevel="1" x14ac:dyDescent="0.2">
      <c r="A256" s="70"/>
      <c r="C256" s="56"/>
      <c r="D256" s="56"/>
      <c r="E256" s="56"/>
      <c r="F256" s="56"/>
      <c r="G256" s="21"/>
      <c r="H256" s="21"/>
      <c r="I256" s="21"/>
      <c r="J256" s="21"/>
      <c r="K256" s="21"/>
      <c r="L256" s="21"/>
      <c r="M256" s="188"/>
      <c r="N256" s="261" t="s">
        <v>357</v>
      </c>
      <c r="O256" s="109" t="s">
        <v>358</v>
      </c>
      <c r="P256" s="127"/>
      <c r="Q256" s="127"/>
      <c r="R256" s="127"/>
      <c r="S256" s="98"/>
      <c r="T256" s="98"/>
      <c r="U256" s="98"/>
      <c r="V256" s="127"/>
      <c r="W256" s="127"/>
      <c r="X256" s="21"/>
      <c r="Y256" s="21"/>
      <c r="Z256" s="21"/>
      <c r="AA256" s="21"/>
      <c r="AB256" s="21"/>
      <c r="AC256" s="23"/>
      <c r="AD256" s="7"/>
    </row>
    <row r="257" spans="1:30" s="6" customFormat="1" ht="14.25" customHeight="1" outlineLevel="1" x14ac:dyDescent="0.2">
      <c r="A257" s="70"/>
      <c r="C257" s="56"/>
      <c r="D257" s="56"/>
      <c r="E257" s="56"/>
      <c r="F257" s="56"/>
      <c r="G257" s="21"/>
      <c r="H257" s="21"/>
      <c r="I257" s="21"/>
      <c r="J257" s="21"/>
      <c r="K257" s="21"/>
      <c r="L257" s="21"/>
      <c r="M257" s="188"/>
      <c r="N257" s="261" t="s">
        <v>359</v>
      </c>
      <c r="O257" s="109" t="s">
        <v>360</v>
      </c>
      <c r="P257" s="127"/>
      <c r="Q257" s="127"/>
      <c r="R257" s="127"/>
      <c r="S257" s="98"/>
      <c r="T257" s="98"/>
      <c r="U257" s="98"/>
      <c r="V257" s="127"/>
      <c r="W257" s="127"/>
      <c r="X257" s="21"/>
      <c r="Y257" s="21"/>
      <c r="Z257" s="21"/>
      <c r="AA257" s="21"/>
      <c r="AB257" s="21"/>
      <c r="AC257" s="23"/>
      <c r="AD257" s="7"/>
    </row>
    <row r="258" spans="1:30" s="6" customFormat="1" ht="14.25" customHeight="1" outlineLevel="1" x14ac:dyDescent="0.2">
      <c r="A258" s="70"/>
      <c r="C258" s="56"/>
      <c r="D258" s="56"/>
      <c r="E258" s="56"/>
      <c r="F258" s="56"/>
      <c r="G258" s="21"/>
      <c r="H258" s="21"/>
      <c r="I258" s="21"/>
      <c r="J258" s="21"/>
      <c r="K258" s="21"/>
      <c r="L258" s="21"/>
      <c r="M258" s="188"/>
      <c r="N258" s="261" t="s">
        <v>361</v>
      </c>
      <c r="O258" s="109" t="s">
        <v>56</v>
      </c>
      <c r="P258" s="127"/>
      <c r="Q258" s="127"/>
      <c r="R258" s="109"/>
      <c r="S258" s="98"/>
      <c r="T258" s="98"/>
      <c r="U258" s="98"/>
      <c r="V258" s="127"/>
      <c r="W258" s="127"/>
      <c r="X258" s="21"/>
      <c r="Y258" s="21"/>
      <c r="Z258" s="21"/>
      <c r="AA258" s="21"/>
      <c r="AB258" s="21"/>
      <c r="AC258" s="23"/>
      <c r="AD258" s="7"/>
    </row>
    <row r="259" spans="1:30" s="6" customFormat="1" ht="14.25" customHeight="1" outlineLevel="1" x14ac:dyDescent="0.2">
      <c r="A259" s="70"/>
      <c r="C259" s="56"/>
      <c r="D259" s="56"/>
      <c r="E259" s="56"/>
      <c r="F259" s="56"/>
      <c r="G259" s="21"/>
      <c r="H259" s="21"/>
      <c r="I259" s="21"/>
      <c r="J259" s="21"/>
      <c r="K259" s="21"/>
      <c r="L259" s="21"/>
      <c r="M259" s="188"/>
      <c r="N259" s="261" t="s">
        <v>362</v>
      </c>
      <c r="O259" s="109" t="s">
        <v>363</v>
      </c>
      <c r="P259" s="127"/>
      <c r="Q259" s="127"/>
      <c r="R259" s="127"/>
      <c r="S259" s="98"/>
      <c r="T259" s="98"/>
      <c r="U259" s="98"/>
      <c r="V259" s="127"/>
      <c r="W259" s="127"/>
      <c r="X259" s="21"/>
      <c r="Y259" s="21"/>
      <c r="Z259" s="21"/>
      <c r="AA259" s="21"/>
      <c r="AB259" s="21"/>
      <c r="AC259" s="23"/>
      <c r="AD259" s="7"/>
    </row>
    <row r="260" spans="1:30" s="6" customFormat="1" ht="14.25" customHeight="1" outlineLevel="1" x14ac:dyDescent="0.2">
      <c r="A260" s="70"/>
      <c r="C260" s="56"/>
      <c r="D260" s="56"/>
      <c r="E260" s="56"/>
      <c r="F260" s="56"/>
      <c r="G260" s="21"/>
      <c r="H260" s="21"/>
      <c r="I260" s="21"/>
      <c r="J260" s="21"/>
      <c r="K260" s="21"/>
      <c r="L260" s="21"/>
      <c r="M260" s="188"/>
      <c r="N260" s="261" t="s">
        <v>364</v>
      </c>
      <c r="O260" s="109" t="s">
        <v>365</v>
      </c>
      <c r="P260" s="127"/>
      <c r="Q260" s="127"/>
      <c r="R260" s="127"/>
      <c r="S260" s="98"/>
      <c r="T260" s="98"/>
      <c r="U260" s="98"/>
      <c r="V260" s="127"/>
      <c r="W260" s="127"/>
      <c r="X260" s="21"/>
      <c r="Y260" s="21"/>
      <c r="Z260" s="21"/>
      <c r="AA260" s="21"/>
      <c r="AB260" s="21"/>
      <c r="AC260" s="23"/>
      <c r="AD260" s="7"/>
    </row>
    <row r="261" spans="1:30" s="6" customFormat="1" ht="14.25" customHeight="1" outlineLevel="1" x14ac:dyDescent="0.2">
      <c r="A261" s="70"/>
      <c r="C261" s="56"/>
      <c r="D261" s="56"/>
      <c r="E261" s="56"/>
      <c r="F261" s="56"/>
      <c r="G261" s="21"/>
      <c r="H261" s="21"/>
      <c r="I261" s="21"/>
      <c r="J261" s="21"/>
      <c r="K261" s="21"/>
      <c r="L261" s="21"/>
      <c r="M261" s="188"/>
      <c r="N261" s="110"/>
      <c r="O261" s="21"/>
      <c r="P261" s="21"/>
      <c r="Q261" s="21"/>
      <c r="R261" s="21"/>
      <c r="S261" s="97"/>
      <c r="T261" s="97"/>
      <c r="U261" s="97"/>
      <c r="V261" s="97"/>
      <c r="W261" s="97"/>
      <c r="X261" s="21"/>
      <c r="Y261" s="21"/>
      <c r="Z261" s="21"/>
      <c r="AA261" s="21"/>
      <c r="AB261" s="97"/>
      <c r="AC261" s="23"/>
      <c r="AD261" s="7"/>
    </row>
    <row r="262" spans="1:30" s="6" customFormat="1" ht="15" customHeight="1" outlineLevel="1" x14ac:dyDescent="0.2">
      <c r="A262" s="70"/>
      <c r="C262" s="58"/>
      <c r="D262" s="58"/>
      <c r="E262" s="58"/>
      <c r="F262" s="56"/>
      <c r="G262" s="21"/>
      <c r="H262" s="21"/>
      <c r="I262" s="21"/>
      <c r="J262" s="21"/>
      <c r="K262" s="21"/>
      <c r="L262" s="21"/>
      <c r="M262" s="188"/>
      <c r="N262" s="326" t="str">
        <f>"Total effort is "&amp;TEXT(TOTAL_EFFORT,"##,##,###")&amp;" PDs. How much up or down it can safely be without being way off?"</f>
        <v>Total effort is 445 PDs. How much up or down it can safely be without being way off?</v>
      </c>
      <c r="O262" s="260" t="s">
        <v>366</v>
      </c>
      <c r="P262" s="260" t="s">
        <v>367</v>
      </c>
      <c r="Q262" s="21"/>
      <c r="R262" s="21"/>
      <c r="S262" s="97"/>
      <c r="T262" s="97"/>
      <c r="U262" s="97"/>
      <c r="V262" s="97"/>
      <c r="W262" s="97"/>
      <c r="X262" s="21"/>
      <c r="Y262" s="21"/>
      <c r="Z262" s="21"/>
      <c r="AA262" s="21"/>
      <c r="AB262" s="23"/>
      <c r="AC262" s="23"/>
      <c r="AD262" s="7"/>
    </row>
    <row r="263" spans="1:30" s="6" customFormat="1" ht="15" customHeight="1" outlineLevel="1" x14ac:dyDescent="0.2">
      <c r="A263" s="70"/>
      <c r="C263" s="58"/>
      <c r="D263" s="58"/>
      <c r="E263" s="58"/>
      <c r="F263" s="56"/>
      <c r="G263" s="21"/>
      <c r="H263" s="21"/>
      <c r="I263" s="21"/>
      <c r="J263" s="21"/>
      <c r="K263" s="21"/>
      <c r="L263" s="21"/>
      <c r="M263" s="188"/>
      <c r="N263" s="294"/>
      <c r="O263" s="106">
        <v>-0.2</v>
      </c>
      <c r="P263" s="107">
        <v>0.2</v>
      </c>
      <c r="Q263" s="21"/>
      <c r="R263" s="21"/>
      <c r="S263" s="97"/>
      <c r="T263" s="97"/>
      <c r="U263" s="97"/>
      <c r="V263" s="97"/>
      <c r="W263" s="97"/>
      <c r="X263" s="21"/>
      <c r="Y263" s="21"/>
      <c r="Z263" s="21"/>
      <c r="AA263" s="21"/>
      <c r="AB263" s="23"/>
      <c r="AC263" s="23"/>
      <c r="AD263" s="7"/>
    </row>
    <row r="264" spans="1:30" s="6" customFormat="1" outlineLevel="1" x14ac:dyDescent="0.2">
      <c r="A264" s="70"/>
      <c r="C264" s="58"/>
      <c r="D264" s="58"/>
      <c r="E264" s="58"/>
      <c r="F264" s="56"/>
      <c r="G264" s="21"/>
      <c r="H264" s="21"/>
      <c r="I264" s="21"/>
      <c r="J264" s="21"/>
      <c r="K264" s="21"/>
      <c r="L264" s="21"/>
      <c r="M264" s="188"/>
      <c r="N264" s="294"/>
      <c r="O264" s="23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3"/>
      <c r="AC264" s="23"/>
      <c r="AD264" s="7"/>
    </row>
    <row r="265" spans="1:30" s="6" customFormat="1" outlineLevel="1" x14ac:dyDescent="0.2">
      <c r="A265" s="70"/>
      <c r="C265" s="58"/>
      <c r="D265" s="58"/>
      <c r="E265" s="58"/>
      <c r="F265" s="56"/>
      <c r="G265" s="21"/>
      <c r="H265" s="21"/>
      <c r="I265" s="21"/>
      <c r="J265" s="21"/>
      <c r="K265" s="21"/>
      <c r="L265" s="21"/>
      <c r="M265" s="188"/>
      <c r="N265" s="262" t="s">
        <v>368</v>
      </c>
      <c r="O265" s="97"/>
      <c r="P265" s="263" t="s">
        <v>369</v>
      </c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3"/>
      <c r="AC265" s="23"/>
      <c r="AD265" s="7"/>
    </row>
    <row r="266" spans="1:30" s="6" customFormat="1" outlineLevel="1" x14ac:dyDescent="0.2">
      <c r="A266" s="70"/>
      <c r="C266" s="58"/>
      <c r="D266" s="58"/>
      <c r="E266" s="58"/>
      <c r="F266" s="56"/>
      <c r="G266" s="21"/>
      <c r="H266" s="21"/>
      <c r="I266" s="21"/>
      <c r="J266" s="21"/>
      <c r="K266" s="21"/>
      <c r="L266" s="21"/>
      <c r="M266" s="188"/>
      <c r="N266" s="264" t="s">
        <v>370</v>
      </c>
      <c r="O266" s="21"/>
      <c r="P266" s="265" t="s">
        <v>371</v>
      </c>
      <c r="Q266" s="266" t="s">
        <v>372</v>
      </c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3"/>
      <c r="AD266" s="7"/>
    </row>
    <row r="267" spans="1:30" s="6" customFormat="1" outlineLevel="1" x14ac:dyDescent="0.2">
      <c r="A267" s="70"/>
      <c r="C267" s="58"/>
      <c r="D267" s="58"/>
      <c r="E267" s="58"/>
      <c r="F267" s="56"/>
      <c r="G267" s="21"/>
      <c r="H267" s="21"/>
      <c r="I267" s="21"/>
      <c r="J267" s="21"/>
      <c r="K267" s="21"/>
      <c r="L267" s="21"/>
      <c r="M267" s="188"/>
      <c r="N267" s="264" t="s">
        <v>373</v>
      </c>
      <c r="O267" s="21"/>
      <c r="P267" s="265" t="s">
        <v>374</v>
      </c>
      <c r="Q267" s="266" t="s">
        <v>375</v>
      </c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3"/>
      <c r="AD267" s="7"/>
    </row>
    <row r="268" spans="1:30" s="6" customFormat="1" outlineLevel="1" x14ac:dyDescent="0.2">
      <c r="A268" s="70"/>
      <c r="C268" s="58"/>
      <c r="D268" s="58"/>
      <c r="E268" s="58"/>
      <c r="F268" s="56"/>
      <c r="G268" s="21"/>
      <c r="H268" s="21"/>
      <c r="I268" s="21"/>
      <c r="J268" s="21"/>
      <c r="K268" s="21"/>
      <c r="L268" s="21"/>
      <c r="M268" s="188"/>
      <c r="N268" s="264" t="s">
        <v>376</v>
      </c>
      <c r="O268" s="21"/>
      <c r="P268" s="21"/>
      <c r="Q268" s="21"/>
      <c r="R268" s="21"/>
      <c r="S268" s="21"/>
      <c r="T268" s="21"/>
      <c r="U268" s="111"/>
      <c r="V268" s="21"/>
      <c r="W268" s="21"/>
      <c r="X268" s="21"/>
      <c r="Y268" s="21"/>
      <c r="Z268" s="21"/>
      <c r="AA268" s="21"/>
      <c r="AB268" s="21"/>
      <c r="AC268" s="23"/>
      <c r="AD268" s="7"/>
    </row>
    <row r="269" spans="1:30" s="6" customFormat="1" ht="15" customHeight="1" outlineLevel="1" x14ac:dyDescent="0.2">
      <c r="A269" s="70"/>
      <c r="C269" s="58"/>
      <c r="D269" s="58"/>
      <c r="E269" s="58"/>
      <c r="F269" s="56"/>
      <c r="G269" s="21"/>
      <c r="H269" s="21"/>
      <c r="I269" s="21"/>
      <c r="J269" s="21"/>
      <c r="K269" s="21"/>
      <c r="L269" s="21"/>
      <c r="M269" s="188"/>
      <c r="N269" s="264" t="s">
        <v>377</v>
      </c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3"/>
      <c r="AD269" s="7"/>
    </row>
    <row r="270" spans="1:30" s="6" customFormat="1" outlineLevel="1" x14ac:dyDescent="0.2">
      <c r="A270" s="70"/>
      <c r="C270" s="58"/>
      <c r="D270" s="58"/>
      <c r="E270" s="58"/>
      <c r="F270" s="56"/>
      <c r="G270" s="21"/>
      <c r="H270" s="21"/>
      <c r="I270" s="21"/>
      <c r="J270" s="21"/>
      <c r="K270" s="21"/>
      <c r="L270" s="21"/>
      <c r="M270" s="188"/>
      <c r="N270" s="264" t="s">
        <v>378</v>
      </c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3"/>
      <c r="AD270" s="7"/>
    </row>
    <row r="271" spans="1:30" s="6" customFormat="1" outlineLevel="1" x14ac:dyDescent="0.2">
      <c r="A271" s="70"/>
      <c r="C271" s="58"/>
      <c r="D271" s="58"/>
      <c r="E271" s="58"/>
      <c r="F271" s="56"/>
      <c r="G271" s="21"/>
      <c r="H271" s="21"/>
      <c r="I271" s="21"/>
      <c r="J271" s="21"/>
      <c r="K271" s="21"/>
      <c r="L271" s="21"/>
      <c r="M271" s="188"/>
      <c r="N271" s="264" t="s">
        <v>379</v>
      </c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3"/>
      <c r="AD271" s="7"/>
    </row>
    <row r="272" spans="1:30" s="6" customFormat="1" outlineLevel="1" x14ac:dyDescent="0.2">
      <c r="A272" s="70"/>
      <c r="C272" s="58"/>
      <c r="D272" s="58"/>
      <c r="E272" s="58"/>
      <c r="F272" s="56"/>
      <c r="G272" s="21"/>
      <c r="H272" s="21"/>
      <c r="I272" s="21"/>
      <c r="J272" s="21"/>
      <c r="K272" s="21"/>
      <c r="L272" s="21"/>
      <c r="M272" s="188"/>
      <c r="N272" s="264" t="s">
        <v>380</v>
      </c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3"/>
      <c r="AD272" s="7"/>
    </row>
    <row r="273" spans="1:30" s="6" customFormat="1" outlineLevel="1" x14ac:dyDescent="0.2">
      <c r="A273" s="70"/>
      <c r="C273" s="58"/>
      <c r="D273" s="58"/>
      <c r="E273" s="58"/>
      <c r="F273" s="56"/>
      <c r="G273" s="21"/>
      <c r="H273" s="21"/>
      <c r="I273" s="21"/>
      <c r="J273" s="21"/>
      <c r="K273" s="21"/>
      <c r="L273" s="21"/>
      <c r="M273" s="188"/>
      <c r="N273" s="264" t="s">
        <v>381</v>
      </c>
      <c r="O273" s="23"/>
      <c r="P273" s="99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3"/>
      <c r="AD273" s="7"/>
    </row>
    <row r="274" spans="1:30" s="6" customFormat="1" outlineLevel="1" x14ac:dyDescent="0.2">
      <c r="A274" s="70"/>
      <c r="C274" s="58"/>
      <c r="D274" s="58"/>
      <c r="E274" s="58"/>
      <c r="F274" s="56"/>
      <c r="G274" s="21"/>
      <c r="H274" s="21"/>
      <c r="I274" s="21"/>
      <c r="J274" s="21"/>
      <c r="K274" s="21"/>
      <c r="L274" s="21"/>
      <c r="M274" s="188"/>
      <c r="N274" s="264" t="s">
        <v>382</v>
      </c>
      <c r="O274" s="23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3"/>
      <c r="AD274" s="7"/>
    </row>
    <row r="275" spans="1:30" s="6" customFormat="1" outlineLevel="1" x14ac:dyDescent="0.2">
      <c r="A275" s="70"/>
      <c r="C275" s="58"/>
      <c r="D275" s="58"/>
      <c r="E275" s="58"/>
      <c r="F275" s="56"/>
      <c r="G275" s="21"/>
      <c r="H275" s="21"/>
      <c r="I275" s="21"/>
      <c r="J275" s="21"/>
      <c r="K275" s="21"/>
      <c r="L275" s="21"/>
      <c r="M275" s="188"/>
      <c r="N275" s="264" t="s">
        <v>383</v>
      </c>
      <c r="O275" s="23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3"/>
      <c r="AD275" s="7"/>
    </row>
    <row r="276" spans="1:30" s="6" customFormat="1" outlineLevel="1" x14ac:dyDescent="0.2">
      <c r="A276" s="70"/>
      <c r="C276" s="58"/>
      <c r="D276" s="58"/>
      <c r="E276" s="58"/>
      <c r="F276" s="56"/>
      <c r="G276" s="21"/>
      <c r="H276" s="21"/>
      <c r="I276" s="21"/>
      <c r="J276" s="21"/>
      <c r="K276" s="21"/>
      <c r="L276" s="21"/>
      <c r="M276" s="188"/>
      <c r="N276" s="264" t="s">
        <v>384</v>
      </c>
      <c r="O276" s="23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3"/>
      <c r="AD276" s="7"/>
    </row>
    <row r="277" spans="1:30" s="6" customFormat="1" outlineLevel="1" x14ac:dyDescent="0.2">
      <c r="A277" s="70"/>
      <c r="C277" s="58"/>
      <c r="D277" s="58"/>
      <c r="E277" s="58"/>
      <c r="F277" s="56"/>
      <c r="G277" s="21"/>
      <c r="H277" s="21"/>
      <c r="I277" s="21"/>
      <c r="J277" s="21"/>
      <c r="K277" s="21"/>
      <c r="L277" s="21"/>
      <c r="M277" s="188"/>
      <c r="N277" s="264" t="s">
        <v>385</v>
      </c>
      <c r="O277" s="23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3"/>
      <c r="AD277" s="7"/>
    </row>
    <row r="278" spans="1:30" s="6" customFormat="1" outlineLevel="1" x14ac:dyDescent="0.2">
      <c r="A278" s="70"/>
      <c r="C278" s="58"/>
      <c r="D278" s="58"/>
      <c r="E278" s="58"/>
      <c r="F278" s="56"/>
      <c r="G278" s="21"/>
      <c r="H278" s="21"/>
      <c r="I278" s="21"/>
      <c r="J278" s="21"/>
      <c r="K278" s="21"/>
      <c r="L278" s="21"/>
      <c r="M278" s="188"/>
      <c r="N278" s="264" t="s">
        <v>386</v>
      </c>
      <c r="O278" s="23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3"/>
      <c r="AD278" s="7"/>
    </row>
    <row r="279" spans="1:30" s="6" customFormat="1" outlineLevel="1" x14ac:dyDescent="0.2">
      <c r="A279" s="70"/>
      <c r="C279" s="58"/>
      <c r="D279" s="58"/>
      <c r="E279" s="58"/>
      <c r="F279" s="56"/>
      <c r="G279" s="21"/>
      <c r="H279" s="21"/>
      <c r="I279" s="21"/>
      <c r="J279" s="21"/>
      <c r="K279" s="21"/>
      <c r="L279" s="21"/>
      <c r="M279" s="188"/>
      <c r="N279" s="264" t="s">
        <v>387</v>
      </c>
      <c r="O279" s="23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3"/>
      <c r="AD279" s="7"/>
    </row>
    <row r="280" spans="1:30" s="6" customFormat="1" outlineLevel="1" x14ac:dyDescent="0.2">
      <c r="A280" s="70"/>
      <c r="C280" s="58"/>
      <c r="D280" s="58"/>
      <c r="E280" s="58"/>
      <c r="F280" s="56"/>
      <c r="G280" s="21"/>
      <c r="H280" s="21"/>
      <c r="I280" s="21"/>
      <c r="J280" s="21"/>
      <c r="K280" s="21"/>
      <c r="L280" s="21"/>
      <c r="M280" s="188"/>
      <c r="N280" s="264" t="s">
        <v>388</v>
      </c>
      <c r="O280" s="23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3"/>
      <c r="AD280" s="7"/>
    </row>
    <row r="281" spans="1:30" s="6" customFormat="1" outlineLevel="1" x14ac:dyDescent="0.2">
      <c r="A281" s="70"/>
      <c r="C281" s="58"/>
      <c r="D281" s="58"/>
      <c r="E281" s="58"/>
      <c r="F281" s="56"/>
      <c r="G281" s="21"/>
      <c r="H281" s="21"/>
      <c r="I281" s="21"/>
      <c r="J281" s="21"/>
      <c r="K281" s="21"/>
      <c r="L281" s="21"/>
      <c r="M281" s="188"/>
      <c r="N281" s="264" t="s">
        <v>389</v>
      </c>
      <c r="O281" s="23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3"/>
      <c r="AD281" s="7"/>
    </row>
    <row r="282" spans="1:30" s="6" customFormat="1" outlineLevel="1" x14ac:dyDescent="0.2">
      <c r="A282" s="70"/>
      <c r="C282" s="58"/>
      <c r="D282" s="58"/>
      <c r="E282" s="58"/>
      <c r="F282" s="56"/>
      <c r="G282" s="21"/>
      <c r="H282" s="21"/>
      <c r="I282" s="21"/>
      <c r="J282" s="21"/>
      <c r="K282" s="21"/>
      <c r="L282" s="21"/>
      <c r="M282" s="188"/>
      <c r="N282" s="264" t="s">
        <v>390</v>
      </c>
      <c r="O282" s="23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3"/>
      <c r="AD282" s="7"/>
    </row>
    <row r="283" spans="1:30" s="6" customFormat="1" outlineLevel="1" x14ac:dyDescent="0.2">
      <c r="A283" s="70"/>
      <c r="C283" s="58"/>
      <c r="D283" s="58"/>
      <c r="E283" s="58"/>
      <c r="F283" s="56"/>
      <c r="G283" s="21"/>
      <c r="H283" s="21"/>
      <c r="I283" s="21"/>
      <c r="J283" s="21"/>
      <c r="K283" s="21"/>
      <c r="L283" s="21"/>
      <c r="M283" s="188"/>
      <c r="N283" s="264" t="s">
        <v>391</v>
      </c>
      <c r="O283" s="23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3"/>
      <c r="AD283" s="7"/>
    </row>
    <row r="284" spans="1:30" s="6" customFormat="1" outlineLevel="1" x14ac:dyDescent="0.2">
      <c r="A284" s="70"/>
      <c r="C284" s="58"/>
      <c r="D284" s="58"/>
      <c r="E284" s="58"/>
      <c r="F284" s="56"/>
      <c r="G284" s="21"/>
      <c r="H284" s="21"/>
      <c r="I284" s="21"/>
      <c r="J284" s="21"/>
      <c r="K284" s="21"/>
      <c r="L284" s="21"/>
      <c r="M284" s="188"/>
      <c r="N284" s="264" t="s">
        <v>392</v>
      </c>
      <c r="O284" s="23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3"/>
      <c r="AD284" s="7"/>
    </row>
    <row r="285" spans="1:30" s="6" customFormat="1" outlineLevel="1" x14ac:dyDescent="0.2">
      <c r="A285" s="70"/>
      <c r="C285" s="58"/>
      <c r="D285" s="58"/>
      <c r="E285" s="58"/>
      <c r="F285" s="56"/>
      <c r="G285" s="21"/>
      <c r="H285" s="21"/>
      <c r="I285" s="21"/>
      <c r="J285" s="21"/>
      <c r="K285" s="21"/>
      <c r="L285" s="21"/>
      <c r="M285" s="188"/>
      <c r="N285" s="264" t="s">
        <v>393</v>
      </c>
      <c r="O285" s="23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3"/>
      <c r="AD285" s="7"/>
    </row>
    <row r="286" spans="1:30" s="6" customFormat="1" outlineLevel="1" x14ac:dyDescent="0.2">
      <c r="A286" s="70"/>
      <c r="C286" s="58"/>
      <c r="D286" s="58"/>
      <c r="E286" s="58"/>
      <c r="F286" s="56"/>
      <c r="G286" s="21"/>
      <c r="H286" s="21"/>
      <c r="I286" s="21"/>
      <c r="J286" s="21"/>
      <c r="K286" s="21"/>
      <c r="L286" s="21"/>
      <c r="M286" s="188"/>
      <c r="N286" s="97"/>
      <c r="O286" s="23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3"/>
      <c r="AD286" s="7"/>
    </row>
    <row r="287" spans="1:30" s="6" customFormat="1" ht="15" customHeight="1" outlineLevel="1" x14ac:dyDescent="0.2">
      <c r="A287" s="70"/>
      <c r="C287" s="58"/>
      <c r="D287" s="58"/>
      <c r="E287" s="58"/>
      <c r="F287" s="56"/>
      <c r="G287" s="21"/>
      <c r="H287" s="21"/>
      <c r="I287" s="21"/>
      <c r="J287" s="21"/>
      <c r="K287" s="21"/>
      <c r="L287" s="21"/>
      <c r="M287" s="188"/>
      <c r="N287" s="267" t="s">
        <v>394</v>
      </c>
      <c r="O287" s="267" t="s">
        <v>395</v>
      </c>
      <c r="P287" s="21"/>
      <c r="Q287" s="126"/>
      <c r="R287" s="126"/>
      <c r="S287" s="21"/>
      <c r="T287" s="21"/>
      <c r="U287" s="21"/>
      <c r="V287" s="21"/>
      <c r="W287" s="21"/>
      <c r="X287" s="21"/>
      <c r="Y287" s="21"/>
      <c r="Z287" s="21"/>
      <c r="AA287" s="21"/>
      <c r="AB287" s="23"/>
      <c r="AC287" s="23"/>
      <c r="AD287" s="7"/>
    </row>
    <row r="288" spans="1:30" s="6" customFormat="1" ht="15" customHeight="1" outlineLevel="1" x14ac:dyDescent="0.2">
      <c r="A288" s="70"/>
      <c r="C288" s="58"/>
      <c r="D288" s="58"/>
      <c r="E288" s="58"/>
      <c r="F288" s="56"/>
      <c r="G288" s="21"/>
      <c r="H288" s="21"/>
      <c r="I288" s="21"/>
      <c r="J288" s="21"/>
      <c r="K288" s="21"/>
      <c r="L288" s="21"/>
      <c r="M288" s="188"/>
      <c r="N288" s="268" t="s">
        <v>396</v>
      </c>
      <c r="O288" s="112">
        <v>0.5</v>
      </c>
      <c r="P288" s="313" t="s">
        <v>397</v>
      </c>
      <c r="Q288" s="294"/>
      <c r="R288" s="294"/>
      <c r="S288" s="21"/>
      <c r="T288" s="21"/>
      <c r="U288" s="21"/>
      <c r="V288" s="21"/>
      <c r="W288" s="21"/>
      <c r="X288" s="21"/>
      <c r="Y288" s="21"/>
      <c r="Z288" s="21"/>
      <c r="AA288" s="21"/>
      <c r="AB288" s="23"/>
      <c r="AC288" s="23"/>
      <c r="AD288" s="7"/>
    </row>
    <row r="289" spans="1:30" s="6" customFormat="1" outlineLevel="1" x14ac:dyDescent="0.2">
      <c r="A289" s="70"/>
      <c r="C289" s="58"/>
      <c r="D289" s="58"/>
      <c r="E289" s="58"/>
      <c r="F289" s="56"/>
      <c r="G289" s="21"/>
      <c r="H289" s="21"/>
      <c r="I289" s="21"/>
      <c r="J289" s="21"/>
      <c r="K289" s="21"/>
      <c r="L289" s="21"/>
      <c r="M289" s="188"/>
      <c r="N289" s="268" t="s">
        <v>398</v>
      </c>
      <c r="O289" s="112">
        <v>0.25</v>
      </c>
      <c r="P289" s="294"/>
      <c r="Q289" s="294"/>
      <c r="R289" s="294"/>
      <c r="S289" s="21"/>
      <c r="T289" s="21"/>
      <c r="U289" s="21"/>
      <c r="V289" s="21"/>
      <c r="W289" s="21"/>
      <c r="X289" s="21"/>
      <c r="Y289" s="21"/>
      <c r="Z289" s="21"/>
      <c r="AA289" s="21"/>
      <c r="AB289" s="23"/>
      <c r="AC289" s="23"/>
      <c r="AD289" s="7"/>
    </row>
    <row r="290" spans="1:30" s="6" customFormat="1" outlineLevel="1" x14ac:dyDescent="0.2">
      <c r="A290" s="70"/>
      <c r="C290" s="58"/>
      <c r="D290" s="58"/>
      <c r="E290" s="58"/>
      <c r="F290" s="56"/>
      <c r="G290" s="21"/>
      <c r="H290" s="21"/>
      <c r="I290" s="21"/>
      <c r="J290" s="21"/>
      <c r="K290" s="21"/>
      <c r="L290" s="21"/>
      <c r="M290" s="188"/>
      <c r="N290" s="23"/>
      <c r="O290" s="23"/>
      <c r="P290" s="294"/>
      <c r="Q290" s="294"/>
      <c r="R290" s="294"/>
      <c r="S290" s="21"/>
      <c r="T290" s="21"/>
      <c r="U290" s="21"/>
      <c r="V290" s="21"/>
      <c r="W290" s="21"/>
      <c r="X290" s="21"/>
      <c r="Y290" s="21"/>
      <c r="Z290" s="21"/>
      <c r="AA290" s="21"/>
      <c r="AB290" s="23"/>
      <c r="AC290" s="23"/>
      <c r="AD290" s="7"/>
    </row>
    <row r="291" spans="1:30" s="6" customFormat="1" outlineLevel="1" x14ac:dyDescent="0.2">
      <c r="A291" s="70"/>
      <c r="C291" s="58"/>
      <c r="D291" s="58"/>
      <c r="E291" s="58"/>
      <c r="F291" s="56"/>
      <c r="G291" s="21"/>
      <c r="H291" s="21"/>
      <c r="I291" s="21"/>
      <c r="J291" s="21"/>
      <c r="K291" s="21"/>
      <c r="L291" s="21"/>
      <c r="M291" s="188"/>
      <c r="N291" s="23"/>
      <c r="O291" s="23"/>
      <c r="P291" s="294"/>
      <c r="Q291" s="294"/>
      <c r="R291" s="294"/>
      <c r="S291" s="21"/>
      <c r="T291" s="21"/>
      <c r="U291" s="21"/>
      <c r="V291" s="21"/>
      <c r="W291" s="21"/>
      <c r="X291" s="21"/>
      <c r="Y291" s="21"/>
      <c r="Z291" s="21"/>
      <c r="AA291" s="21"/>
      <c r="AB291" s="23"/>
      <c r="AC291" s="23"/>
      <c r="AD291" s="7"/>
    </row>
    <row r="292" spans="1:30" s="6" customFormat="1" outlineLevel="1" x14ac:dyDescent="0.2">
      <c r="A292" s="70"/>
      <c r="C292" s="58"/>
      <c r="D292" s="58"/>
      <c r="E292" s="58"/>
      <c r="F292" s="56"/>
      <c r="G292" s="21"/>
      <c r="H292" s="21"/>
      <c r="I292" s="21"/>
      <c r="J292" s="21"/>
      <c r="K292" s="21"/>
      <c r="L292" s="21"/>
      <c r="M292" s="188"/>
      <c r="N292" s="262" t="s">
        <v>30</v>
      </c>
      <c r="O292" s="267" t="s">
        <v>395</v>
      </c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3"/>
      <c r="AC292" s="23"/>
      <c r="AD292" s="7"/>
    </row>
    <row r="293" spans="1:30" s="6" customFormat="1" outlineLevel="1" x14ac:dyDescent="0.2">
      <c r="A293" s="70"/>
      <c r="C293" s="58"/>
      <c r="D293" s="58"/>
      <c r="E293" s="58"/>
      <c r="F293" s="56"/>
      <c r="G293" s="21"/>
      <c r="H293" s="21"/>
      <c r="I293" s="21"/>
      <c r="J293" s="21"/>
      <c r="K293" s="21"/>
      <c r="L293" s="21"/>
      <c r="M293" s="188"/>
      <c r="N293" s="176" t="s">
        <v>57</v>
      </c>
      <c r="O293" s="177">
        <v>0</v>
      </c>
      <c r="P293" s="313" t="s">
        <v>399</v>
      </c>
      <c r="Q293" s="294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3"/>
      <c r="AC293" s="23"/>
      <c r="AD293" s="7"/>
    </row>
    <row r="294" spans="1:30" s="6" customFormat="1" ht="15" customHeight="1" outlineLevel="1" x14ac:dyDescent="0.2">
      <c r="A294" s="70"/>
      <c r="C294" s="58"/>
      <c r="D294" s="58"/>
      <c r="E294" s="58"/>
      <c r="F294" s="56"/>
      <c r="G294" s="21"/>
      <c r="H294" s="21"/>
      <c r="I294" s="21"/>
      <c r="J294" s="21"/>
      <c r="K294" s="21"/>
      <c r="L294" s="21"/>
      <c r="M294" s="188"/>
      <c r="N294" s="176" t="s">
        <v>400</v>
      </c>
      <c r="O294" s="177">
        <v>0.25</v>
      </c>
      <c r="P294" s="294"/>
      <c r="Q294" s="294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3"/>
      <c r="AC294" s="23"/>
      <c r="AD294" s="7"/>
    </row>
    <row r="295" spans="1:30" s="6" customFormat="1" outlineLevel="1" x14ac:dyDescent="0.2">
      <c r="A295" s="70"/>
      <c r="C295" s="58"/>
      <c r="D295" s="58"/>
      <c r="E295" s="58"/>
      <c r="F295" s="56"/>
      <c r="G295" s="21"/>
      <c r="H295" s="21"/>
      <c r="I295" s="21"/>
      <c r="J295" s="21"/>
      <c r="K295" s="21"/>
      <c r="L295" s="21"/>
      <c r="M295" s="188"/>
      <c r="N295" s="176" t="s">
        <v>401</v>
      </c>
      <c r="O295" s="178">
        <v>0.1</v>
      </c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3"/>
      <c r="AC295" s="23"/>
      <c r="AD295" s="7"/>
    </row>
    <row r="296" spans="1:30" s="6" customFormat="1" outlineLevel="1" x14ac:dyDescent="0.2">
      <c r="A296" s="70"/>
      <c r="C296" s="58"/>
      <c r="D296" s="58"/>
      <c r="E296" s="58"/>
      <c r="F296" s="56"/>
      <c r="G296" s="21"/>
      <c r="H296" s="21"/>
      <c r="I296" s="21"/>
      <c r="J296" s="21"/>
      <c r="K296" s="21"/>
      <c r="L296" s="21"/>
      <c r="M296" s="188"/>
      <c r="N296" s="176" t="s">
        <v>402</v>
      </c>
      <c r="O296" s="178">
        <v>0</v>
      </c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3"/>
      <c r="AC296" s="23"/>
      <c r="AD296" s="7"/>
    </row>
    <row r="297" spans="1:30" s="6" customFormat="1" outlineLevel="1" x14ac:dyDescent="0.2">
      <c r="A297" s="70"/>
      <c r="C297" s="58"/>
      <c r="D297" s="58"/>
      <c r="E297" s="58"/>
      <c r="F297" s="56"/>
      <c r="G297" s="21"/>
      <c r="H297" s="21"/>
      <c r="I297" s="21"/>
      <c r="J297" s="21"/>
      <c r="K297" s="21"/>
      <c r="L297" s="21"/>
      <c r="M297" s="188"/>
      <c r="N297" s="176" t="s">
        <v>403</v>
      </c>
      <c r="O297" s="178">
        <v>0</v>
      </c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3"/>
      <c r="AC297" s="23"/>
      <c r="AD297" s="7"/>
    </row>
    <row r="298" spans="1:30" s="6" customFormat="1" outlineLevel="1" x14ac:dyDescent="0.2">
      <c r="A298" s="70"/>
      <c r="C298" s="58"/>
      <c r="D298" s="58"/>
      <c r="E298" s="58"/>
      <c r="F298" s="56"/>
      <c r="G298" s="21"/>
      <c r="H298" s="21"/>
      <c r="I298" s="21"/>
      <c r="J298" s="21"/>
      <c r="K298" s="21"/>
      <c r="L298" s="21"/>
      <c r="M298" s="188"/>
      <c r="N298" s="176" t="s">
        <v>404</v>
      </c>
      <c r="O298" s="178">
        <v>0</v>
      </c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3"/>
      <c r="AC298" s="23"/>
      <c r="AD298" s="7"/>
    </row>
    <row r="299" spans="1:30" s="6" customFormat="1" outlineLevel="1" x14ac:dyDescent="0.2">
      <c r="A299" s="70"/>
      <c r="C299" s="58"/>
      <c r="D299" s="58"/>
      <c r="E299" s="58"/>
      <c r="F299" s="56"/>
      <c r="G299" s="21"/>
      <c r="H299" s="21"/>
      <c r="I299" s="21"/>
      <c r="J299" s="21"/>
      <c r="K299" s="21"/>
      <c r="L299" s="21"/>
      <c r="M299" s="188"/>
      <c r="N299" s="23"/>
      <c r="O299" s="23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3"/>
      <c r="AC299" s="23"/>
      <c r="AD299" s="7"/>
    </row>
    <row r="300" spans="1:30" s="6" customFormat="1" outlineLevel="1" x14ac:dyDescent="0.2">
      <c r="A300" s="70"/>
      <c r="C300" s="58"/>
      <c r="D300" s="58"/>
      <c r="E300" s="58"/>
      <c r="F300" s="56"/>
      <c r="G300" s="21"/>
      <c r="H300" s="21"/>
      <c r="I300" s="21"/>
      <c r="J300" s="21"/>
      <c r="K300" s="21"/>
      <c r="L300" s="21"/>
      <c r="M300" s="188"/>
      <c r="N300" s="262" t="s">
        <v>405</v>
      </c>
      <c r="O300" s="267" t="s">
        <v>395</v>
      </c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3"/>
      <c r="AC300" s="23"/>
      <c r="AD300" s="7"/>
    </row>
    <row r="301" spans="1:30" s="6" customFormat="1" ht="15" customHeight="1" outlineLevel="1" x14ac:dyDescent="0.2">
      <c r="A301" s="70"/>
      <c r="C301" s="58"/>
      <c r="D301" s="58"/>
      <c r="E301" s="58"/>
      <c r="F301" s="56"/>
      <c r="G301" s="21"/>
      <c r="H301" s="21"/>
      <c r="I301" s="21"/>
      <c r="J301" s="21"/>
      <c r="K301" s="21"/>
      <c r="L301" s="21"/>
      <c r="M301" s="188"/>
      <c r="N301" s="268" t="str">
        <f>Lists!B46</f>
        <v>Low</v>
      </c>
      <c r="O301" s="112">
        <v>0.1</v>
      </c>
      <c r="P301" s="313" t="s">
        <v>406</v>
      </c>
      <c r="Q301" s="294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3"/>
      <c r="AC301" s="23"/>
      <c r="AD301" s="7"/>
    </row>
    <row r="302" spans="1:30" s="6" customFormat="1" outlineLevel="1" x14ac:dyDescent="0.2">
      <c r="A302" s="70"/>
      <c r="C302" s="58"/>
      <c r="D302" s="58"/>
      <c r="E302" s="58"/>
      <c r="F302" s="56"/>
      <c r="G302" s="21"/>
      <c r="H302" s="21"/>
      <c r="I302" s="21"/>
      <c r="J302" s="21"/>
      <c r="K302" s="21"/>
      <c r="L302" s="21"/>
      <c r="M302" s="188"/>
      <c r="N302" s="268" t="str">
        <f>Lists!B47</f>
        <v>Medium</v>
      </c>
      <c r="O302" s="112">
        <v>0.15</v>
      </c>
      <c r="P302" s="294"/>
      <c r="Q302" s="294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3"/>
      <c r="AC302" s="23"/>
      <c r="AD302" s="7"/>
    </row>
    <row r="303" spans="1:30" s="6" customFormat="1" outlineLevel="1" x14ac:dyDescent="0.2">
      <c r="A303" s="70"/>
      <c r="C303" s="58"/>
      <c r="D303" s="58"/>
      <c r="E303" s="58"/>
      <c r="F303" s="56"/>
      <c r="G303" s="21"/>
      <c r="H303" s="21"/>
      <c r="I303" s="21"/>
      <c r="J303" s="21"/>
      <c r="K303" s="21"/>
      <c r="L303" s="21"/>
      <c r="M303" s="188"/>
      <c r="N303" s="268" t="str">
        <f>Lists!B48</f>
        <v>High</v>
      </c>
      <c r="O303" s="112">
        <v>0.2</v>
      </c>
      <c r="P303" s="294"/>
      <c r="Q303" s="294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3"/>
      <c r="AC303" s="23"/>
      <c r="AD303" s="7"/>
    </row>
    <row r="304" spans="1:30" s="6" customFormat="1" outlineLevel="1" x14ac:dyDescent="0.2">
      <c r="A304" s="70"/>
      <c r="C304" s="58"/>
      <c r="D304" s="58"/>
      <c r="E304" s="58"/>
      <c r="F304" s="56"/>
      <c r="G304" s="21"/>
      <c r="H304" s="21"/>
      <c r="I304" s="21"/>
      <c r="J304" s="21"/>
      <c r="K304" s="21"/>
      <c r="L304" s="21"/>
      <c r="M304" s="188"/>
      <c r="N304" s="23"/>
      <c r="O304" s="23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3"/>
      <c r="AC304" s="23"/>
      <c r="AD304" s="7"/>
    </row>
    <row r="305" spans="1:30" s="6" customFormat="1" ht="20.25" customHeight="1" outlineLevel="1" x14ac:dyDescent="0.2">
      <c r="A305" s="70"/>
      <c r="C305" s="56"/>
      <c r="D305" s="56"/>
      <c r="E305" s="56"/>
      <c r="F305" s="56"/>
      <c r="G305" s="35"/>
      <c r="H305" s="35"/>
      <c r="I305" s="35"/>
      <c r="J305" s="35"/>
      <c r="K305" s="35"/>
      <c r="L305" s="35"/>
      <c r="M305" s="18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7"/>
    </row>
    <row r="306" spans="1:30" x14ac:dyDescent="0.2">
      <c r="F306" s="56"/>
    </row>
    <row r="370" spans="1:30" s="6" customFormat="1" ht="20.25" customHeight="1" x14ac:dyDescent="0.2">
      <c r="A370" s="70"/>
      <c r="C370" s="56"/>
      <c r="D370" s="56"/>
      <c r="E370" s="56"/>
      <c r="F370" s="56"/>
      <c r="G370" s="293" t="s">
        <v>32</v>
      </c>
      <c r="H370" s="294"/>
      <c r="I370" s="120"/>
      <c r="J370" s="35"/>
      <c r="K370" s="35"/>
      <c r="L370" s="31"/>
      <c r="M370" s="231" t="s">
        <v>128</v>
      </c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7"/>
    </row>
    <row r="371" spans="1:30" hidden="1" x14ac:dyDescent="0.2"/>
    <row r="372" spans="1:30" s="11" customFormat="1" ht="18.5" hidden="1" customHeight="1" collapsed="1" x14ac:dyDescent="0.2">
      <c r="A372" s="212" t="s">
        <v>46</v>
      </c>
      <c r="B372" s="14"/>
      <c r="C372" s="59"/>
      <c r="D372" s="59"/>
      <c r="E372" s="59"/>
      <c r="F372" s="59"/>
      <c r="G372" s="44"/>
      <c r="H372" s="44"/>
      <c r="I372" s="44"/>
      <c r="J372" s="44"/>
      <c r="K372" s="44"/>
      <c r="L372" s="44" t="s">
        <v>55</v>
      </c>
      <c r="M372" s="187" t="s">
        <v>407</v>
      </c>
      <c r="N372" s="45"/>
      <c r="O372" s="46"/>
      <c r="P372" s="47"/>
      <c r="Q372" s="47"/>
      <c r="R372" s="47"/>
      <c r="S372" s="296">
        <f>CEILING(SUMIFS(T373:T378, J373:J378, "&lt;&gt;Yes", A373:A378,"T1"),1)</f>
        <v>0</v>
      </c>
      <c r="T372" s="294"/>
      <c r="U372" s="47"/>
      <c r="V372" s="47"/>
      <c r="W372" s="47"/>
      <c r="X372" s="47"/>
      <c r="Y372" s="47"/>
      <c r="Z372" s="47"/>
      <c r="AA372" s="47"/>
      <c r="AB372" s="47"/>
      <c r="AC372" s="47"/>
      <c r="AD372" s="226" t="str">
        <f>IF(M372="", "Section name cannot be empty.", "")</f>
        <v/>
      </c>
    </row>
    <row r="373" spans="1:30" s="6" customFormat="1" ht="1.5" hidden="1" customHeight="1" outlineLevel="1" x14ac:dyDescent="0.2">
      <c r="A373" s="212" t="s">
        <v>51</v>
      </c>
      <c r="B373" s="12"/>
      <c r="C373" s="56"/>
      <c r="D373" s="56"/>
      <c r="E373" s="56"/>
      <c r="F373" s="56"/>
      <c r="G373" s="21"/>
      <c r="H373" s="21"/>
      <c r="I373" s="21"/>
      <c r="J373" s="21"/>
      <c r="K373" s="21"/>
      <c r="L373" s="53">
        <v>0</v>
      </c>
      <c r="M373" s="188"/>
      <c r="N373" s="21"/>
      <c r="O373" s="21"/>
      <c r="P373" s="21"/>
      <c r="Q373" s="21"/>
      <c r="R373" s="21"/>
      <c r="S373" s="21"/>
      <c r="T373" s="22"/>
      <c r="U373" s="21"/>
      <c r="V373" s="21"/>
      <c r="W373" s="21"/>
      <c r="X373" s="22"/>
      <c r="Y373" s="21"/>
      <c r="Z373" s="21"/>
      <c r="AA373" s="21"/>
      <c r="AB373" s="23"/>
      <c r="AC373" s="23"/>
      <c r="AD373" s="7"/>
    </row>
    <row r="374" spans="1:30" s="11" customFormat="1" ht="15.5" hidden="1" customHeight="1" outlineLevel="1" x14ac:dyDescent="0.2">
      <c r="A374" s="212" t="s">
        <v>52</v>
      </c>
      <c r="B374" s="14"/>
      <c r="C374" s="61"/>
      <c r="D374" s="61"/>
      <c r="E374" s="61"/>
      <c r="F374" s="60"/>
      <c r="G374" s="24"/>
      <c r="H374" s="24"/>
      <c r="I374" s="24"/>
      <c r="J374" s="24"/>
      <c r="K374" s="24"/>
      <c r="L374" s="223">
        <f ca="1">LOOKUP(1000,INDIRECT("L1:"&amp;CELL("address",INDIRECT("R[-1]C",FALSE))))+1</f>
        <v>1</v>
      </c>
      <c r="M374" s="299" t="s">
        <v>202</v>
      </c>
      <c r="N374" s="294"/>
      <c r="O374" s="4"/>
      <c r="P374" s="25"/>
      <c r="Q374" s="25"/>
      <c r="R374" s="25"/>
      <c r="S374" s="25"/>
      <c r="T374" s="225">
        <f>IF($S$6="Exclude", SUMIFS(S375:S377, J375:J377, "&lt;&gt;Yes", G375:G377, "&lt;&gt;Yes"), SUMIFS(S375:S377, J375:J377, "&lt;&gt;Yes"))</f>
        <v>0</v>
      </c>
      <c r="U374" s="25"/>
      <c r="V374" s="25"/>
      <c r="W374" s="25"/>
      <c r="X374" s="26"/>
      <c r="Y374" s="27"/>
      <c r="Z374" s="27"/>
      <c r="AA374" s="27"/>
      <c r="AB374" s="155" t="s">
        <v>408</v>
      </c>
      <c r="AC374" s="28"/>
      <c r="AD374" s="226" t="str">
        <f>IF(M374="", "Error: Task name cannot be empty.", "")</f>
        <v/>
      </c>
    </row>
    <row r="375" spans="1:30" s="9" customFormat="1" ht="1.5" hidden="1" customHeight="1" outlineLevel="2" x14ac:dyDescent="0.2">
      <c r="A375" s="212" t="s">
        <v>54</v>
      </c>
      <c r="B375" s="14"/>
      <c r="C375" s="61"/>
      <c r="D375" s="61"/>
      <c r="E375" s="61"/>
      <c r="F375" s="60"/>
      <c r="G375" s="24"/>
      <c r="H375" s="24"/>
      <c r="I375" s="24"/>
      <c r="J375" s="24"/>
      <c r="K375" s="24"/>
      <c r="L375" s="227">
        <f ca="1">L374</f>
        <v>1</v>
      </c>
      <c r="M375" s="228" t="s">
        <v>55</v>
      </c>
      <c r="N375" s="118"/>
      <c r="O375" s="119"/>
      <c r="P375" s="25"/>
      <c r="Q375" s="25"/>
      <c r="R375" s="25"/>
      <c r="S375" s="25"/>
      <c r="T375" s="114"/>
      <c r="U375" s="25"/>
      <c r="V375" s="25"/>
      <c r="W375" s="25"/>
      <c r="X375" s="26"/>
      <c r="Y375" s="27"/>
      <c r="Z375" s="27"/>
      <c r="AA375" s="27"/>
      <c r="AB375" s="28"/>
      <c r="AC375" s="28"/>
      <c r="AD375" s="19"/>
    </row>
    <row r="376" spans="1:30" ht="58" hidden="1" customHeight="1" outlineLevel="2" x14ac:dyDescent="0.2">
      <c r="A376" s="212" t="s">
        <v>49</v>
      </c>
      <c r="B376" s="14"/>
      <c r="C376" s="62"/>
      <c r="D376" s="62"/>
      <c r="E376" s="62"/>
      <c r="F376" s="63"/>
      <c r="G376" s="15" t="s">
        <v>57</v>
      </c>
      <c r="H376" s="15" t="s">
        <v>57</v>
      </c>
      <c r="I376" s="16" t="s">
        <v>57</v>
      </c>
      <c r="J376" s="15" t="s">
        <v>57</v>
      </c>
      <c r="K376" s="30"/>
      <c r="L376" s="15"/>
      <c r="M376" s="229" t="str">
        <f ca="1">IFERROR(OFFSET(M376,-1,,1,1)+0.1,OFFSET(M376,-1,-1,1,1)&amp;".1")</f>
        <v>1.1</v>
      </c>
      <c r="N376" s="16" t="s">
        <v>211</v>
      </c>
      <c r="O376" s="16"/>
      <c r="P376" s="16"/>
      <c r="Q376" s="100"/>
      <c r="R376" s="95"/>
      <c r="S376" s="230">
        <f>CEILING((IF(J376="Yes", 0, IF(H376="-",AA376,AA376+AA376*VLOOKUP(H376,BUFFERS_BY_TYPE,2,FALSE)))) +
   (IF(J376="Yes", 0, IF(H376="-",AA376,AA376+AA376*VLOOKUP(H376,BUFFERS_BY_TYPE,2,FALSE))))*VLOOKUP($S$5, SALES_CALL_SCALE_ARRAY, 2,FALSE),0.25)</f>
        <v>0</v>
      </c>
      <c r="T376" s="116"/>
      <c r="U376" s="17">
        <v>0</v>
      </c>
      <c r="V376" s="17">
        <v>1</v>
      </c>
      <c r="W376" s="17">
        <v>0</v>
      </c>
      <c r="X376" s="115"/>
      <c r="Y376" s="230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>0</v>
      </c>
      <c r="Z376" s="18"/>
      <c r="AA376" s="230">
        <f>Y376+Y376*VLOOKUP(I376,EXTRAS_ARRAY,2,FALSE)</f>
        <v>0</v>
      </c>
      <c r="AB376" s="16" t="s">
        <v>409</v>
      </c>
      <c r="AC376" s="29"/>
      <c r="AD376" s="226" t="str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>Error: Effort value is not defined or is invalid.</v>
      </c>
    </row>
    <row r="377" spans="1:30" s="6" customFormat="1" ht="7.5" hidden="1" customHeight="1" outlineLevel="2" x14ac:dyDescent="0.2">
      <c r="A377" s="212" t="s">
        <v>68</v>
      </c>
      <c r="B377" s="12"/>
      <c r="C377" s="56"/>
      <c r="D377" s="56"/>
      <c r="E377" s="56"/>
      <c r="F377" s="56"/>
      <c r="M377" s="180"/>
      <c r="T377" s="12"/>
      <c r="X377" s="12"/>
      <c r="AB377" s="7"/>
      <c r="AC377" s="7"/>
      <c r="AD377" s="7"/>
    </row>
    <row r="378" spans="1:30" s="6" customFormat="1" ht="1.5" hidden="1" customHeight="1" outlineLevel="1" x14ac:dyDescent="0.2">
      <c r="A378" s="212" t="s">
        <v>141</v>
      </c>
      <c r="C378" s="56"/>
      <c r="D378" s="56"/>
      <c r="E378" s="56"/>
      <c r="F378" s="56"/>
      <c r="G378" s="21"/>
      <c r="H378" s="21"/>
      <c r="I378" s="21"/>
      <c r="J378" s="21"/>
      <c r="K378" s="21"/>
      <c r="L378" s="48"/>
      <c r="M378" s="189"/>
      <c r="N378" s="49"/>
      <c r="O378" s="49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9"/>
      <c r="AC378" s="49"/>
      <c r="AD378" s="7"/>
    </row>
    <row r="379" spans="1:30" hidden="1" collapsed="1" x14ac:dyDescent="0.2"/>
    <row r="380" spans="1:30" s="11" customFormat="1" ht="15.5" hidden="1" customHeight="1" outlineLevel="1" x14ac:dyDescent="0.2">
      <c r="A380" s="212" t="s">
        <v>200</v>
      </c>
      <c r="B380" s="14"/>
      <c r="C380" s="61"/>
      <c r="D380" s="61"/>
      <c r="E380" s="61"/>
      <c r="F380" s="60"/>
      <c r="G380" s="125"/>
      <c r="H380" s="125"/>
      <c r="I380" s="125"/>
      <c r="J380" s="125"/>
      <c r="K380" s="125"/>
      <c r="L380" s="69" t="s">
        <v>20</v>
      </c>
      <c r="M380" s="308" t="s">
        <v>201</v>
      </c>
      <c r="N380" s="294"/>
      <c r="O380" s="64"/>
      <c r="P380" s="65"/>
      <c r="Q380" s="65"/>
      <c r="R380" s="65"/>
      <c r="S380" s="300">
        <f>SUMGROUP(ROW(), "T")</f>
        <v>0</v>
      </c>
      <c r="T380" s="294"/>
      <c r="U380" s="306"/>
      <c r="V380" s="294"/>
      <c r="W380" s="294"/>
      <c r="X380" s="66"/>
      <c r="Y380" s="67"/>
      <c r="Z380" s="67"/>
      <c r="AA380" s="67"/>
      <c r="AB380" s="156"/>
      <c r="AC380" s="68"/>
      <c r="AD380" s="226" t="str">
        <f>IF(M380="", "Error: Module name cannot be empty.", "")</f>
        <v/>
      </c>
    </row>
    <row r="381" spans="1:30" hidden="1" x14ac:dyDescent="0.2"/>
    <row r="382" spans="1:30" s="6" customFormat="1" ht="20.25" customHeight="1" x14ac:dyDescent="0.2">
      <c r="A382" s="70"/>
      <c r="C382" s="56"/>
      <c r="D382" s="56"/>
      <c r="E382" s="56"/>
      <c r="F382" s="56"/>
      <c r="G382" s="35"/>
      <c r="H382" s="35"/>
      <c r="I382" s="35"/>
      <c r="J382" s="35"/>
      <c r="K382" s="35"/>
      <c r="L382" s="35"/>
      <c r="M382" s="18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7"/>
    </row>
  </sheetData>
  <sheetProtection algorithmName="SHA-512" hashValue="DU0UwTo/JISiNCO3P1pM9657zXsYoq5jsMVJ0NJt7oX+1DpcfKrfW2wVTGkYkk7iN4P+m69iup4SiHJiVpp3fA==" saltValue="YgB5ceV+o0PCng/lPJruHw==" spinCount="100000" sheet="1" objects="1" scenarios="1"/>
  <mergeCells count="91">
    <mergeCell ref="C11:F11"/>
    <mergeCell ref="P288:R291"/>
    <mergeCell ref="S135:T135"/>
    <mergeCell ref="AB5:AB6"/>
    <mergeCell ref="M56:N56"/>
    <mergeCell ref="C2:F9"/>
    <mergeCell ref="N262:N264"/>
    <mergeCell ref="M184:N184"/>
    <mergeCell ref="Q224:V224"/>
    <mergeCell ref="S380:T380"/>
    <mergeCell ref="J5:K5"/>
    <mergeCell ref="M113:N113"/>
    <mergeCell ref="U380:W380"/>
    <mergeCell ref="W227:X227"/>
    <mergeCell ref="S11:T11"/>
    <mergeCell ref="M20:N20"/>
    <mergeCell ref="M151:N151"/>
    <mergeCell ref="S118:T118"/>
    <mergeCell ref="M175:N175"/>
    <mergeCell ref="G3:J3"/>
    <mergeCell ref="P10:R10"/>
    <mergeCell ref="G9:J9"/>
    <mergeCell ref="P225:P226"/>
    <mergeCell ref="G205:H205"/>
    <mergeCell ref="S196:T196"/>
    <mergeCell ref="M104:N104"/>
    <mergeCell ref="M26:N26"/>
    <mergeCell ref="M97:N97"/>
    <mergeCell ref="S95:T95"/>
    <mergeCell ref="M14:N14"/>
    <mergeCell ref="M72:N72"/>
    <mergeCell ref="M112:N112"/>
    <mergeCell ref="M380:N380"/>
    <mergeCell ref="M76:N76"/>
    <mergeCell ref="Q235:V235"/>
    <mergeCell ref="M156:N156"/>
    <mergeCell ref="W231:X231"/>
    <mergeCell ref="S143:T143"/>
    <mergeCell ref="M83:N83"/>
    <mergeCell ref="M188:N188"/>
    <mergeCell ref="M180:N180"/>
    <mergeCell ref="M119:N119"/>
    <mergeCell ref="P293:Q294"/>
    <mergeCell ref="W235:X236"/>
    <mergeCell ref="U128:W128"/>
    <mergeCell ref="W229:X229"/>
    <mergeCell ref="Y237:AA241"/>
    <mergeCell ref="U118:W118"/>
    <mergeCell ref="P301:Q303"/>
    <mergeCell ref="M128:N128"/>
    <mergeCell ref="S203:T203"/>
    <mergeCell ref="W232:X232"/>
    <mergeCell ref="M137:N137"/>
    <mergeCell ref="W225:X226"/>
    <mergeCell ref="S128:T128"/>
    <mergeCell ref="S137:T137"/>
    <mergeCell ref="Q233:V233"/>
    <mergeCell ref="M163:N163"/>
    <mergeCell ref="M207:T208"/>
    <mergeCell ref="C10:F10"/>
    <mergeCell ref="S372:T372"/>
    <mergeCell ref="M47:N47"/>
    <mergeCell ref="T243:U243"/>
    <mergeCell ref="M143:N143"/>
    <mergeCell ref="M118:N118"/>
    <mergeCell ref="S12:T12"/>
    <mergeCell ref="M129:N129"/>
    <mergeCell ref="C12:E12"/>
    <mergeCell ref="U143:W143"/>
    <mergeCell ref="U112:W112"/>
    <mergeCell ref="M144:N144"/>
    <mergeCell ref="M41:N41"/>
    <mergeCell ref="G250:H250"/>
    <mergeCell ref="S65:T65"/>
    <mergeCell ref="M67:N67"/>
    <mergeCell ref="M374:N374"/>
    <mergeCell ref="S112:T112"/>
    <mergeCell ref="G222:H222"/>
    <mergeCell ref="U10:W10"/>
    <mergeCell ref="M124:N124"/>
    <mergeCell ref="W228:X228"/>
    <mergeCell ref="U137:W137"/>
    <mergeCell ref="M33:N33"/>
    <mergeCell ref="M198:N198"/>
    <mergeCell ref="W233:X233"/>
    <mergeCell ref="W230:X230"/>
    <mergeCell ref="G370:H370"/>
    <mergeCell ref="T244:U244"/>
    <mergeCell ref="S173:T173"/>
    <mergeCell ref="O225:O226"/>
    <mergeCell ref="M138:N138"/>
  </mergeCells>
  <conditionalFormatting sqref="B227">
    <cfRule type="cellIs" dxfId="1060" priority="9994" operator="equal">
      <formula>"."</formula>
    </cfRule>
  </conditionalFormatting>
  <conditionalFormatting sqref="C224:E224 C243:E246">
    <cfRule type="expression" dxfId="1059" priority="9874">
      <formula>$H224&lt;&gt;""</formula>
    </cfRule>
  </conditionalFormatting>
  <conditionalFormatting sqref="C225:E233">
    <cfRule type="expression" dxfId="1058" priority="9872">
      <formula>$H225&lt;&gt;""</formula>
    </cfRule>
  </conditionalFormatting>
  <conditionalFormatting sqref="B225">
    <cfRule type="cellIs" dxfId="1057" priority="9868" operator="equal">
      <formula>"."</formula>
    </cfRule>
  </conditionalFormatting>
  <conditionalFormatting sqref="B376">
    <cfRule type="expression" dxfId="1056" priority="9763">
      <formula>AD376&lt;&gt;""</formula>
    </cfRule>
  </conditionalFormatting>
  <conditionalFormatting sqref="Z376">
    <cfRule type="cellIs" dxfId="1055" priority="9761" operator="greaterThan">
      <formula>0</formula>
    </cfRule>
    <cfRule type="cellIs" dxfId="1054" priority="9762" operator="lessThan">
      <formula>0</formula>
    </cfRule>
  </conditionalFormatting>
  <conditionalFormatting sqref="S376">
    <cfRule type="cellIs" dxfId="1053" priority="9760" operator="lessThan">
      <formula>0</formula>
    </cfRule>
  </conditionalFormatting>
  <conditionalFormatting sqref="T374:T375">
    <cfRule type="expression" dxfId="1052" priority="9764">
      <formula>#REF!="Yes"</formula>
    </cfRule>
  </conditionalFormatting>
  <conditionalFormatting sqref="P376">
    <cfRule type="cellIs" dxfId="1051" priority="9757" operator="equal">
      <formula>AS_DURATION_EFFORT</formula>
    </cfRule>
    <cfRule type="cellIs" dxfId="1050" priority="9758" operator="equal">
      <formula>AS_DEV_EFFORT</formula>
    </cfRule>
  </conditionalFormatting>
  <conditionalFormatting sqref="S380">
    <cfRule type="expression" dxfId="1049" priority="9573">
      <formula>#REF!="Yes"</formula>
    </cfRule>
  </conditionalFormatting>
  <conditionalFormatting sqref="B372">
    <cfRule type="expression" dxfId="1048" priority="9565">
      <formula>AD372&lt;&gt;""</formula>
    </cfRule>
  </conditionalFormatting>
  <conditionalFormatting sqref="B374:B375">
    <cfRule type="expression" dxfId="1047" priority="9564">
      <formula>AD374&lt;&gt;""</formula>
    </cfRule>
  </conditionalFormatting>
  <conditionalFormatting sqref="B380">
    <cfRule type="expression" dxfId="1046" priority="9563">
      <formula>AD380&lt;&gt;""</formula>
    </cfRule>
  </conditionalFormatting>
  <conditionalFormatting sqref="L16:AC17 L23:AC24 L28:M28 L35:M35 L43:M43 L49:M49 L58:M58 L69:AC70 L74:AC74 L78:AC81 L85:AC92 L99:AC102 L106:AC110 L115:AC116 L121:AC122 L126:AC126 L131:AC132 L153:AC153 L154:N154 L158:AC158 L159:AA159 L160:AC161 L165:AC168 L177:AC178 L182:AC182 L186:AC186 L190:AC193 L200:AC200 L376:AC376 O28:AC28 O35:AC35 O49:AC49 P43:AC43 P58:AC58 R154:AC154 AC159">
    <cfRule type="expression" dxfId="1045" priority="11852">
      <formula>AND($G16="Yes", $S$6="Exclude")</formula>
    </cfRule>
    <cfRule type="expression" dxfId="1044" priority="11853">
      <formula>$J16="Yes"</formula>
    </cfRule>
  </conditionalFormatting>
  <conditionalFormatting sqref="T5">
    <cfRule type="expression" dxfId="1043" priority="9146">
      <formula>OR($S$5="Reduce by:", $S$5="Increase by:")</formula>
    </cfRule>
  </conditionalFormatting>
  <conditionalFormatting sqref="F376">
    <cfRule type="expression" dxfId="1042" priority="6396">
      <formula>$K376&lt;&gt;""</formula>
    </cfRule>
  </conditionalFormatting>
  <conditionalFormatting sqref="C376">
    <cfRule type="expression" dxfId="1041" priority="6352">
      <formula>$G376&lt;&gt;"-"</formula>
    </cfRule>
  </conditionalFormatting>
  <conditionalFormatting sqref="D376">
    <cfRule type="expression" dxfId="1040" priority="6350">
      <formula>$H376&lt;&gt;"-"</formula>
    </cfRule>
  </conditionalFormatting>
  <conditionalFormatting sqref="E376">
    <cfRule type="expression" dxfId="1039" priority="6349">
      <formula>$I376&lt;&gt;"-"</formula>
    </cfRule>
  </conditionalFormatting>
  <conditionalFormatting sqref="B228">
    <cfRule type="cellIs" dxfId="1038" priority="2793" operator="equal">
      <formula>"."</formula>
    </cfRule>
  </conditionalFormatting>
  <conditionalFormatting sqref="B229">
    <cfRule type="cellIs" dxfId="1037" priority="2792" operator="equal">
      <formula>"."</formula>
    </cfRule>
  </conditionalFormatting>
  <conditionalFormatting sqref="B230">
    <cfRule type="cellIs" dxfId="1036" priority="2791" operator="equal">
      <formula>"."</formula>
    </cfRule>
  </conditionalFormatting>
  <conditionalFormatting sqref="B231">
    <cfRule type="cellIs" dxfId="1035" priority="2790" operator="equal">
      <formula>"."</formula>
    </cfRule>
  </conditionalFormatting>
  <conditionalFormatting sqref="B232">
    <cfRule type="cellIs" dxfId="1034" priority="2789" operator="equal">
      <formula>"."</formula>
    </cfRule>
  </conditionalFormatting>
  <conditionalFormatting sqref="B16">
    <cfRule type="expression" dxfId="1033" priority="2785">
      <formula>AD16&lt;&gt;""</formula>
    </cfRule>
  </conditionalFormatting>
  <conditionalFormatting sqref="Z16">
    <cfRule type="cellIs" dxfId="1032" priority="2783" operator="greaterThan">
      <formula>0</formula>
    </cfRule>
    <cfRule type="cellIs" dxfId="1031" priority="2784" operator="lessThan">
      <formula>0</formula>
    </cfRule>
  </conditionalFormatting>
  <conditionalFormatting sqref="S16">
    <cfRule type="cellIs" dxfId="1030" priority="2782" operator="lessThan">
      <formula>0</formula>
    </cfRule>
  </conditionalFormatting>
  <conditionalFormatting sqref="T14:T15">
    <cfRule type="expression" dxfId="1029" priority="2786">
      <formula>#REF!="Yes"</formula>
    </cfRule>
  </conditionalFormatting>
  <conditionalFormatting sqref="P16">
    <cfRule type="cellIs" dxfId="1028" priority="2780" operator="equal">
      <formula>AS_DURATION_EFFORT</formula>
    </cfRule>
    <cfRule type="cellIs" dxfId="1027" priority="2781" operator="equal">
      <formula>AS_DEV_EFFORT</formula>
    </cfRule>
  </conditionalFormatting>
  <conditionalFormatting sqref="B14:B15">
    <cfRule type="expression" dxfId="1026" priority="2779">
      <formula>AD14&lt;&gt;""</formula>
    </cfRule>
  </conditionalFormatting>
  <conditionalFormatting sqref="F16">
    <cfRule type="expression" dxfId="1025" priority="2778">
      <formula>$K16&lt;&gt;""</formula>
    </cfRule>
  </conditionalFormatting>
  <conditionalFormatting sqref="C16">
    <cfRule type="expression" dxfId="1024" priority="2777">
      <formula>$G16&lt;&gt;"-"</formula>
    </cfRule>
  </conditionalFormatting>
  <conditionalFormatting sqref="D16">
    <cfRule type="expression" dxfId="1023" priority="2776">
      <formula>$H16&lt;&gt;"-"</formula>
    </cfRule>
  </conditionalFormatting>
  <conditionalFormatting sqref="E16">
    <cfRule type="expression" dxfId="1022" priority="2775">
      <formula>$I16&lt;&gt;"-"</formula>
    </cfRule>
  </conditionalFormatting>
  <conditionalFormatting sqref="B17">
    <cfRule type="expression" dxfId="1021" priority="2772">
      <formula>AD17&lt;&gt;""</formula>
    </cfRule>
  </conditionalFormatting>
  <conditionalFormatting sqref="Z17">
    <cfRule type="cellIs" dxfId="1020" priority="2770" operator="greaterThan">
      <formula>0</formula>
    </cfRule>
    <cfRule type="cellIs" dxfId="1019" priority="2771" operator="lessThan">
      <formula>0</formula>
    </cfRule>
  </conditionalFormatting>
  <conditionalFormatting sqref="S17">
    <cfRule type="cellIs" dxfId="1018" priority="2769" operator="lessThan">
      <formula>0</formula>
    </cfRule>
  </conditionalFormatting>
  <conditionalFormatting sqref="P17">
    <cfRule type="cellIs" dxfId="1017" priority="2767" operator="equal">
      <formula>AS_DURATION_EFFORT</formula>
    </cfRule>
    <cfRule type="cellIs" dxfId="1016" priority="2768" operator="equal">
      <formula>AS_DEV_EFFORT</formula>
    </cfRule>
  </conditionalFormatting>
  <conditionalFormatting sqref="F17">
    <cfRule type="expression" dxfId="1015" priority="2766">
      <formula>$K17&lt;&gt;""</formula>
    </cfRule>
  </conditionalFormatting>
  <conditionalFormatting sqref="C17">
    <cfRule type="expression" dxfId="1014" priority="2765">
      <formula>$G17&lt;&gt;"-"</formula>
    </cfRule>
  </conditionalFormatting>
  <conditionalFormatting sqref="D17">
    <cfRule type="expression" dxfId="1013" priority="2764">
      <formula>$H17&lt;&gt;"-"</formula>
    </cfRule>
  </conditionalFormatting>
  <conditionalFormatting sqref="E17">
    <cfRule type="expression" dxfId="1012" priority="2763">
      <formula>$I17&lt;&gt;"-"</formula>
    </cfRule>
  </conditionalFormatting>
  <conditionalFormatting sqref="B69">
    <cfRule type="expression" dxfId="1011" priority="2759">
      <formula>AD69&lt;&gt;""</formula>
    </cfRule>
  </conditionalFormatting>
  <conditionalFormatting sqref="Z69">
    <cfRule type="cellIs" dxfId="1010" priority="2757" operator="greaterThan">
      <formula>0</formula>
    </cfRule>
    <cfRule type="cellIs" dxfId="1009" priority="2758" operator="lessThan">
      <formula>0</formula>
    </cfRule>
  </conditionalFormatting>
  <conditionalFormatting sqref="S69">
    <cfRule type="cellIs" dxfId="1008" priority="2756" operator="lessThan">
      <formula>0</formula>
    </cfRule>
  </conditionalFormatting>
  <conditionalFormatting sqref="T67:T68">
    <cfRule type="expression" dxfId="1007" priority="2760">
      <formula>#REF!="Yes"</formula>
    </cfRule>
  </conditionalFormatting>
  <conditionalFormatting sqref="P69">
    <cfRule type="cellIs" dxfId="1006" priority="2754" operator="equal">
      <formula>AS_DURATION_EFFORT</formula>
    </cfRule>
    <cfRule type="cellIs" dxfId="1005" priority="2755" operator="equal">
      <formula>AS_DEV_EFFORT</formula>
    </cfRule>
  </conditionalFormatting>
  <conditionalFormatting sqref="B67:B68">
    <cfRule type="expression" dxfId="1004" priority="2753">
      <formula>AD67&lt;&gt;""</formula>
    </cfRule>
  </conditionalFormatting>
  <conditionalFormatting sqref="F69">
    <cfRule type="expression" dxfId="1003" priority="2752">
      <formula>$K69&lt;&gt;""</formula>
    </cfRule>
  </conditionalFormatting>
  <conditionalFormatting sqref="C69">
    <cfRule type="expression" dxfId="1002" priority="2751">
      <formula>$G69&lt;&gt;"-"</formula>
    </cfRule>
  </conditionalFormatting>
  <conditionalFormatting sqref="D69">
    <cfRule type="expression" dxfId="1001" priority="2750">
      <formula>$H69&lt;&gt;"-"</formula>
    </cfRule>
  </conditionalFormatting>
  <conditionalFormatting sqref="E69">
    <cfRule type="expression" dxfId="1000" priority="2749">
      <formula>$I69&lt;&gt;"-"</formula>
    </cfRule>
  </conditionalFormatting>
  <conditionalFormatting sqref="B99">
    <cfRule type="expression" dxfId="999" priority="2689">
      <formula>AD99&lt;&gt;""</formula>
    </cfRule>
  </conditionalFormatting>
  <conditionalFormatting sqref="Z99">
    <cfRule type="cellIs" dxfId="998" priority="2687" operator="greaterThan">
      <formula>0</formula>
    </cfRule>
    <cfRule type="cellIs" dxfId="997" priority="2688" operator="lessThan">
      <formula>0</formula>
    </cfRule>
  </conditionalFormatting>
  <conditionalFormatting sqref="S99">
    <cfRule type="cellIs" dxfId="996" priority="2686" operator="lessThan">
      <formula>0</formula>
    </cfRule>
  </conditionalFormatting>
  <conditionalFormatting sqref="T97:T98">
    <cfRule type="expression" dxfId="995" priority="2690">
      <formula>#REF!="Yes"</formula>
    </cfRule>
  </conditionalFormatting>
  <conditionalFormatting sqref="P99">
    <cfRule type="cellIs" dxfId="994" priority="2684" operator="equal">
      <formula>AS_DURATION_EFFORT</formula>
    </cfRule>
    <cfRule type="cellIs" dxfId="993" priority="2685" operator="equal">
      <formula>AS_DEV_EFFORT</formula>
    </cfRule>
  </conditionalFormatting>
  <conditionalFormatting sqref="B97:B98">
    <cfRule type="expression" dxfId="992" priority="2683">
      <formula>AD97&lt;&gt;""</formula>
    </cfRule>
  </conditionalFormatting>
  <conditionalFormatting sqref="F99">
    <cfRule type="expression" dxfId="991" priority="2682">
      <formula>$K99&lt;&gt;""</formula>
    </cfRule>
  </conditionalFormatting>
  <conditionalFormatting sqref="C99">
    <cfRule type="expression" dxfId="990" priority="2681">
      <formula>$G99&lt;&gt;"-"</formula>
    </cfRule>
  </conditionalFormatting>
  <conditionalFormatting sqref="D99">
    <cfRule type="expression" dxfId="989" priority="2680">
      <formula>$H99&lt;&gt;"-"</formula>
    </cfRule>
  </conditionalFormatting>
  <conditionalFormatting sqref="E99">
    <cfRule type="expression" dxfId="988" priority="2679">
      <formula>$I99&lt;&gt;"-"</formula>
    </cfRule>
  </conditionalFormatting>
  <conditionalFormatting sqref="B121">
    <cfRule type="expression" dxfId="987" priority="2675">
      <formula>AD121&lt;&gt;""</formula>
    </cfRule>
  </conditionalFormatting>
  <conditionalFormatting sqref="Z121">
    <cfRule type="cellIs" dxfId="986" priority="2673" operator="greaterThan">
      <formula>0</formula>
    </cfRule>
    <cfRule type="cellIs" dxfId="985" priority="2674" operator="lessThan">
      <formula>0</formula>
    </cfRule>
  </conditionalFormatting>
  <conditionalFormatting sqref="S121">
    <cfRule type="cellIs" dxfId="984" priority="2672" operator="lessThan">
      <formula>0</formula>
    </cfRule>
  </conditionalFormatting>
  <conditionalFormatting sqref="T119:T120">
    <cfRule type="expression" dxfId="983" priority="2676">
      <formula>#REF!="Yes"</formula>
    </cfRule>
  </conditionalFormatting>
  <conditionalFormatting sqref="P121">
    <cfRule type="cellIs" dxfId="982" priority="2670" operator="equal">
      <formula>AS_DURATION_EFFORT</formula>
    </cfRule>
    <cfRule type="cellIs" dxfId="981" priority="2671" operator="equal">
      <formula>AS_DEV_EFFORT</formula>
    </cfRule>
  </conditionalFormatting>
  <conditionalFormatting sqref="B119:B120">
    <cfRule type="expression" dxfId="980" priority="2669">
      <formula>AD119&lt;&gt;""</formula>
    </cfRule>
  </conditionalFormatting>
  <conditionalFormatting sqref="F121">
    <cfRule type="expression" dxfId="979" priority="2668">
      <formula>$K121&lt;&gt;""</formula>
    </cfRule>
  </conditionalFormatting>
  <conditionalFormatting sqref="C121">
    <cfRule type="expression" dxfId="978" priority="2667">
      <formula>$G121&lt;&gt;"-"</formula>
    </cfRule>
  </conditionalFormatting>
  <conditionalFormatting sqref="D121">
    <cfRule type="expression" dxfId="977" priority="2666">
      <formula>$H121&lt;&gt;"-"</formula>
    </cfRule>
  </conditionalFormatting>
  <conditionalFormatting sqref="E121">
    <cfRule type="expression" dxfId="976" priority="2665">
      <formula>$I121&lt;&gt;"-"</formula>
    </cfRule>
  </conditionalFormatting>
  <conditionalFormatting sqref="B115">
    <cfRule type="expression" dxfId="975" priority="2661">
      <formula>AD115&lt;&gt;""</formula>
    </cfRule>
  </conditionalFormatting>
  <conditionalFormatting sqref="Z115">
    <cfRule type="cellIs" dxfId="974" priority="2659" operator="greaterThan">
      <formula>0</formula>
    </cfRule>
    <cfRule type="cellIs" dxfId="973" priority="2660" operator="lessThan">
      <formula>0</formula>
    </cfRule>
  </conditionalFormatting>
  <conditionalFormatting sqref="S115">
    <cfRule type="cellIs" dxfId="972" priority="2658" operator="lessThan">
      <formula>0</formula>
    </cfRule>
  </conditionalFormatting>
  <conditionalFormatting sqref="T113:T114">
    <cfRule type="expression" dxfId="971" priority="2662">
      <formula>#REF!="Yes"</formula>
    </cfRule>
  </conditionalFormatting>
  <conditionalFormatting sqref="P115">
    <cfRule type="cellIs" dxfId="970" priority="2656" operator="equal">
      <formula>AS_DURATION_EFFORT</formula>
    </cfRule>
    <cfRule type="cellIs" dxfId="969" priority="2657" operator="equal">
      <formula>AS_DEV_EFFORT</formula>
    </cfRule>
  </conditionalFormatting>
  <conditionalFormatting sqref="B113:B114">
    <cfRule type="expression" dxfId="968" priority="2655">
      <formula>AD113&lt;&gt;""</formula>
    </cfRule>
  </conditionalFormatting>
  <conditionalFormatting sqref="F115">
    <cfRule type="expression" dxfId="967" priority="2654">
      <formula>$K115&lt;&gt;""</formula>
    </cfRule>
  </conditionalFormatting>
  <conditionalFormatting sqref="C115">
    <cfRule type="expression" dxfId="966" priority="2653">
      <formula>$G115&lt;&gt;"-"</formula>
    </cfRule>
  </conditionalFormatting>
  <conditionalFormatting sqref="D115">
    <cfRule type="expression" dxfId="965" priority="2652">
      <formula>$H115&lt;&gt;"-"</formula>
    </cfRule>
  </conditionalFormatting>
  <conditionalFormatting sqref="E115">
    <cfRule type="expression" dxfId="964" priority="2651">
      <formula>$I115&lt;&gt;"-"</formula>
    </cfRule>
  </conditionalFormatting>
  <conditionalFormatting sqref="B106">
    <cfRule type="expression" dxfId="963" priority="2647">
      <formula>AD106&lt;&gt;""</formula>
    </cfRule>
  </conditionalFormatting>
  <conditionalFormatting sqref="Z106">
    <cfRule type="cellIs" dxfId="962" priority="2645" operator="greaterThan">
      <formula>0</formula>
    </cfRule>
    <cfRule type="cellIs" dxfId="961" priority="2646" operator="lessThan">
      <formula>0</formula>
    </cfRule>
  </conditionalFormatting>
  <conditionalFormatting sqref="S106">
    <cfRule type="cellIs" dxfId="960" priority="2644" operator="lessThan">
      <formula>0</formula>
    </cfRule>
  </conditionalFormatting>
  <conditionalFormatting sqref="T104:T105">
    <cfRule type="expression" dxfId="959" priority="2648">
      <formula>#REF!="Yes"</formula>
    </cfRule>
  </conditionalFormatting>
  <conditionalFormatting sqref="P106">
    <cfRule type="cellIs" dxfId="958" priority="2642" operator="equal">
      <formula>AS_DURATION_EFFORT</formula>
    </cfRule>
    <cfRule type="cellIs" dxfId="957" priority="2643" operator="equal">
      <formula>AS_DEV_EFFORT</formula>
    </cfRule>
  </conditionalFormatting>
  <conditionalFormatting sqref="B104:B105">
    <cfRule type="expression" dxfId="956" priority="2641">
      <formula>AD104&lt;&gt;""</formula>
    </cfRule>
  </conditionalFormatting>
  <conditionalFormatting sqref="F106">
    <cfRule type="expression" dxfId="955" priority="2640">
      <formula>$K106&lt;&gt;""</formula>
    </cfRule>
  </conditionalFormatting>
  <conditionalFormatting sqref="C106">
    <cfRule type="expression" dxfId="954" priority="2639">
      <formula>$G106&lt;&gt;"-"</formula>
    </cfRule>
  </conditionalFormatting>
  <conditionalFormatting sqref="D106">
    <cfRule type="expression" dxfId="953" priority="2638">
      <formula>$H106&lt;&gt;"-"</formula>
    </cfRule>
  </conditionalFormatting>
  <conditionalFormatting sqref="E106">
    <cfRule type="expression" dxfId="952" priority="2637">
      <formula>$I106&lt;&gt;"-"</formula>
    </cfRule>
  </conditionalFormatting>
  <conditionalFormatting sqref="S112">
    <cfRule type="expression" dxfId="951" priority="2632">
      <formula>#REF!="Yes"</formula>
    </cfRule>
  </conditionalFormatting>
  <conditionalFormatting sqref="B112">
    <cfRule type="expression" dxfId="950" priority="2631">
      <formula>AD112&lt;&gt;""</formula>
    </cfRule>
  </conditionalFormatting>
  <conditionalFormatting sqref="B23">
    <cfRule type="expression" dxfId="949" priority="2627">
      <formula>AD23&lt;&gt;""</formula>
    </cfRule>
  </conditionalFormatting>
  <conditionalFormatting sqref="Z23">
    <cfRule type="cellIs" dxfId="948" priority="2625" operator="greaterThan">
      <formula>0</formula>
    </cfRule>
    <cfRule type="cellIs" dxfId="947" priority="2626" operator="lessThan">
      <formula>0</formula>
    </cfRule>
  </conditionalFormatting>
  <conditionalFormatting sqref="S23">
    <cfRule type="cellIs" dxfId="946" priority="2624" operator="lessThan">
      <formula>0</formula>
    </cfRule>
  </conditionalFormatting>
  <conditionalFormatting sqref="T20:T21">
    <cfRule type="expression" dxfId="945" priority="2628">
      <formula>#REF!="Yes"</formula>
    </cfRule>
  </conditionalFormatting>
  <conditionalFormatting sqref="P23">
    <cfRule type="cellIs" dxfId="944" priority="2622" operator="equal">
      <formula>AS_DURATION_EFFORT</formula>
    </cfRule>
    <cfRule type="cellIs" dxfId="943" priority="2623" operator="equal">
      <formula>AS_DEV_EFFORT</formula>
    </cfRule>
  </conditionalFormatting>
  <conditionalFormatting sqref="B20:B21">
    <cfRule type="expression" dxfId="942" priority="2621">
      <formula>AD20&lt;&gt;""</formula>
    </cfRule>
  </conditionalFormatting>
  <conditionalFormatting sqref="F23">
    <cfRule type="expression" dxfId="941" priority="2620">
      <formula>$K23&lt;&gt;""</formula>
    </cfRule>
  </conditionalFormatting>
  <conditionalFormatting sqref="C23">
    <cfRule type="expression" dxfId="940" priority="2619">
      <formula>$G23&lt;&gt;"-"</formula>
    </cfRule>
  </conditionalFormatting>
  <conditionalFormatting sqref="D23">
    <cfRule type="expression" dxfId="939" priority="2618">
      <formula>$H23&lt;&gt;"-"</formula>
    </cfRule>
  </conditionalFormatting>
  <conditionalFormatting sqref="E23">
    <cfRule type="expression" dxfId="938" priority="2617">
      <formula>$I23&lt;&gt;"-"</formula>
    </cfRule>
  </conditionalFormatting>
  <conditionalFormatting sqref="B24">
    <cfRule type="expression" dxfId="937" priority="2614">
      <formula>AD24&lt;&gt;""</formula>
    </cfRule>
  </conditionalFormatting>
  <conditionalFormatting sqref="Z24">
    <cfRule type="cellIs" dxfId="936" priority="2612" operator="greaterThan">
      <formula>0</formula>
    </cfRule>
    <cfRule type="cellIs" dxfId="935" priority="2613" operator="lessThan">
      <formula>0</formula>
    </cfRule>
  </conditionalFormatting>
  <conditionalFormatting sqref="S24">
    <cfRule type="cellIs" dxfId="934" priority="2611" operator="lessThan">
      <formula>0</formula>
    </cfRule>
  </conditionalFormatting>
  <conditionalFormatting sqref="P24">
    <cfRule type="cellIs" dxfId="933" priority="2609" operator="equal">
      <formula>AS_DURATION_EFFORT</formula>
    </cfRule>
    <cfRule type="cellIs" dxfId="932" priority="2610" operator="equal">
      <formula>AS_DEV_EFFORT</formula>
    </cfRule>
  </conditionalFormatting>
  <conditionalFormatting sqref="F24">
    <cfRule type="expression" dxfId="931" priority="2608">
      <formula>$K24&lt;&gt;""</formula>
    </cfRule>
  </conditionalFormatting>
  <conditionalFormatting sqref="C24">
    <cfRule type="expression" dxfId="930" priority="2607">
      <formula>$G24&lt;&gt;"-"</formula>
    </cfRule>
  </conditionalFormatting>
  <conditionalFormatting sqref="D24">
    <cfRule type="expression" dxfId="929" priority="2606">
      <formula>$H24&lt;&gt;"-"</formula>
    </cfRule>
  </conditionalFormatting>
  <conditionalFormatting sqref="E24">
    <cfRule type="expression" dxfId="928" priority="2605">
      <formula>$I24&lt;&gt;"-"</formula>
    </cfRule>
  </conditionalFormatting>
  <conditionalFormatting sqref="B74">
    <cfRule type="expression" dxfId="927" priority="2551">
      <formula>AD74&lt;&gt;""</formula>
    </cfRule>
  </conditionalFormatting>
  <conditionalFormatting sqref="Z74">
    <cfRule type="cellIs" dxfId="926" priority="2549" operator="greaterThan">
      <formula>0</formula>
    </cfRule>
    <cfRule type="cellIs" dxfId="925" priority="2550" operator="lessThan">
      <formula>0</formula>
    </cfRule>
  </conditionalFormatting>
  <conditionalFormatting sqref="S74">
    <cfRule type="cellIs" dxfId="924" priority="2548" operator="lessThan">
      <formula>0</formula>
    </cfRule>
  </conditionalFormatting>
  <conditionalFormatting sqref="T72:T73">
    <cfRule type="expression" dxfId="923" priority="2552">
      <formula>#REF!="Yes"</formula>
    </cfRule>
  </conditionalFormatting>
  <conditionalFormatting sqref="P74">
    <cfRule type="cellIs" dxfId="922" priority="2546" operator="equal">
      <formula>AS_DURATION_EFFORT</formula>
    </cfRule>
    <cfRule type="cellIs" dxfId="921" priority="2547" operator="equal">
      <formula>AS_DEV_EFFORT</formula>
    </cfRule>
  </conditionalFormatting>
  <conditionalFormatting sqref="B72:B73">
    <cfRule type="expression" dxfId="920" priority="2545">
      <formula>AD72&lt;&gt;""</formula>
    </cfRule>
  </conditionalFormatting>
  <conditionalFormatting sqref="F74">
    <cfRule type="expression" dxfId="919" priority="2544">
      <formula>$K74&lt;&gt;""</formula>
    </cfRule>
  </conditionalFormatting>
  <conditionalFormatting sqref="C74">
    <cfRule type="expression" dxfId="918" priority="2543">
      <formula>$G74&lt;&gt;"-"</formula>
    </cfRule>
  </conditionalFormatting>
  <conditionalFormatting sqref="D74">
    <cfRule type="expression" dxfId="917" priority="2542">
      <formula>$H74&lt;&gt;"-"</formula>
    </cfRule>
  </conditionalFormatting>
  <conditionalFormatting sqref="E74">
    <cfRule type="expression" dxfId="916" priority="2541">
      <formula>$I74&lt;&gt;"-"</formula>
    </cfRule>
  </conditionalFormatting>
  <conditionalFormatting sqref="B78">
    <cfRule type="expression" dxfId="915" priority="2537">
      <formula>AD78&lt;&gt;""</formula>
    </cfRule>
  </conditionalFormatting>
  <conditionalFormatting sqref="Z78">
    <cfRule type="cellIs" dxfId="914" priority="2535" operator="greaterThan">
      <formula>0</formula>
    </cfRule>
    <cfRule type="cellIs" dxfId="913" priority="2536" operator="lessThan">
      <formula>0</formula>
    </cfRule>
  </conditionalFormatting>
  <conditionalFormatting sqref="S78">
    <cfRule type="cellIs" dxfId="912" priority="2534" operator="lessThan">
      <formula>0</formula>
    </cfRule>
  </conditionalFormatting>
  <conditionalFormatting sqref="T76:T77">
    <cfRule type="expression" dxfId="911" priority="2538">
      <formula>#REF!="Yes"</formula>
    </cfRule>
  </conditionalFormatting>
  <conditionalFormatting sqref="P78">
    <cfRule type="cellIs" dxfId="910" priority="2532" operator="equal">
      <formula>AS_DURATION_EFFORT</formula>
    </cfRule>
    <cfRule type="cellIs" dxfId="909" priority="2533" operator="equal">
      <formula>AS_DEV_EFFORT</formula>
    </cfRule>
  </conditionalFormatting>
  <conditionalFormatting sqref="B76:B77">
    <cfRule type="expression" dxfId="908" priority="2531">
      <formula>AD76&lt;&gt;""</formula>
    </cfRule>
  </conditionalFormatting>
  <conditionalFormatting sqref="F78">
    <cfRule type="expression" dxfId="907" priority="2530">
      <formula>$K78&lt;&gt;""</formula>
    </cfRule>
  </conditionalFormatting>
  <conditionalFormatting sqref="C78">
    <cfRule type="expression" dxfId="906" priority="2529">
      <formula>$G78&lt;&gt;"-"</formula>
    </cfRule>
  </conditionalFormatting>
  <conditionalFormatting sqref="D78">
    <cfRule type="expression" dxfId="905" priority="2528">
      <formula>$H78&lt;&gt;"-"</formula>
    </cfRule>
  </conditionalFormatting>
  <conditionalFormatting sqref="E78">
    <cfRule type="expression" dxfId="904" priority="2527">
      <formula>$I78&lt;&gt;"-"</formula>
    </cfRule>
  </conditionalFormatting>
  <conditionalFormatting sqref="B85">
    <cfRule type="expression" dxfId="903" priority="2523">
      <formula>AD85&lt;&gt;""</formula>
    </cfRule>
  </conditionalFormatting>
  <conditionalFormatting sqref="Z85">
    <cfRule type="cellIs" dxfId="902" priority="2521" operator="greaterThan">
      <formula>0</formula>
    </cfRule>
    <cfRule type="cellIs" dxfId="901" priority="2522" operator="lessThan">
      <formula>0</formula>
    </cfRule>
  </conditionalFormatting>
  <conditionalFormatting sqref="S85">
    <cfRule type="cellIs" dxfId="900" priority="2520" operator="lessThan">
      <formula>0</formula>
    </cfRule>
  </conditionalFormatting>
  <conditionalFormatting sqref="T83:T84">
    <cfRule type="expression" dxfId="899" priority="2524">
      <formula>#REF!="Yes"</formula>
    </cfRule>
  </conditionalFormatting>
  <conditionalFormatting sqref="P85">
    <cfRule type="cellIs" dxfId="898" priority="2518" operator="equal">
      <formula>AS_DURATION_EFFORT</formula>
    </cfRule>
    <cfRule type="cellIs" dxfId="897" priority="2519" operator="equal">
      <formula>AS_DEV_EFFORT</formula>
    </cfRule>
  </conditionalFormatting>
  <conditionalFormatting sqref="B83:B84">
    <cfRule type="expression" dxfId="896" priority="2517">
      <formula>AD83&lt;&gt;""</formula>
    </cfRule>
  </conditionalFormatting>
  <conditionalFormatting sqref="F85">
    <cfRule type="expression" dxfId="895" priority="2516">
      <formula>$K85&lt;&gt;""</formula>
    </cfRule>
  </conditionalFormatting>
  <conditionalFormatting sqref="C85">
    <cfRule type="expression" dxfId="894" priority="2515">
      <formula>$G85&lt;&gt;"-"</formula>
    </cfRule>
  </conditionalFormatting>
  <conditionalFormatting sqref="D85">
    <cfRule type="expression" dxfId="893" priority="2514">
      <formula>$H85&lt;&gt;"-"</formula>
    </cfRule>
  </conditionalFormatting>
  <conditionalFormatting sqref="E85">
    <cfRule type="expression" dxfId="892" priority="2513">
      <formula>$I85&lt;&gt;"-"</formula>
    </cfRule>
  </conditionalFormatting>
  <conditionalFormatting sqref="B70">
    <cfRule type="expression" dxfId="891" priority="2482">
      <formula>AD70&lt;&gt;""</formula>
    </cfRule>
  </conditionalFormatting>
  <conditionalFormatting sqref="Z70">
    <cfRule type="cellIs" dxfId="890" priority="2480" operator="greaterThan">
      <formula>0</formula>
    </cfRule>
    <cfRule type="cellIs" dxfId="889" priority="2481" operator="lessThan">
      <formula>0</formula>
    </cfRule>
  </conditionalFormatting>
  <conditionalFormatting sqref="S70">
    <cfRule type="cellIs" dxfId="888" priority="2479" operator="lessThan">
      <formula>0</formula>
    </cfRule>
  </conditionalFormatting>
  <conditionalFormatting sqref="P70">
    <cfRule type="cellIs" dxfId="887" priority="2477" operator="equal">
      <formula>AS_DURATION_EFFORT</formula>
    </cfRule>
    <cfRule type="cellIs" dxfId="886" priority="2478" operator="equal">
      <formula>AS_DEV_EFFORT</formula>
    </cfRule>
  </conditionalFormatting>
  <conditionalFormatting sqref="F70">
    <cfRule type="expression" dxfId="885" priority="2476">
      <formula>$K70&lt;&gt;""</formula>
    </cfRule>
  </conditionalFormatting>
  <conditionalFormatting sqref="C70">
    <cfRule type="expression" dxfId="884" priority="2475">
      <formula>$G70&lt;&gt;"-"</formula>
    </cfRule>
  </conditionalFormatting>
  <conditionalFormatting sqref="D70">
    <cfRule type="expression" dxfId="883" priority="2474">
      <formula>$H70&lt;&gt;"-"</formula>
    </cfRule>
  </conditionalFormatting>
  <conditionalFormatting sqref="E70">
    <cfRule type="expression" dxfId="882" priority="2473">
      <formula>$I70&lt;&gt;"-"</formula>
    </cfRule>
  </conditionalFormatting>
  <conditionalFormatting sqref="B79">
    <cfRule type="expression" dxfId="881" priority="2470">
      <formula>AD79&lt;&gt;""</formula>
    </cfRule>
  </conditionalFormatting>
  <conditionalFormatting sqref="Z79">
    <cfRule type="cellIs" dxfId="880" priority="2468" operator="greaterThan">
      <formula>0</formula>
    </cfRule>
    <cfRule type="cellIs" dxfId="879" priority="2469" operator="lessThan">
      <formula>0</formula>
    </cfRule>
  </conditionalFormatting>
  <conditionalFormatting sqref="S79">
    <cfRule type="cellIs" dxfId="878" priority="2467" operator="lessThan">
      <formula>0</formula>
    </cfRule>
  </conditionalFormatting>
  <conditionalFormatting sqref="P79">
    <cfRule type="cellIs" dxfId="877" priority="2465" operator="equal">
      <formula>AS_DURATION_EFFORT</formula>
    </cfRule>
    <cfRule type="cellIs" dxfId="876" priority="2466" operator="equal">
      <formula>AS_DEV_EFFORT</formula>
    </cfRule>
  </conditionalFormatting>
  <conditionalFormatting sqref="F79">
    <cfRule type="expression" dxfId="875" priority="2464">
      <formula>$K79&lt;&gt;""</formula>
    </cfRule>
  </conditionalFormatting>
  <conditionalFormatting sqref="C79">
    <cfRule type="expression" dxfId="874" priority="2463">
      <formula>$G79&lt;&gt;"-"</formula>
    </cfRule>
  </conditionalFormatting>
  <conditionalFormatting sqref="D79">
    <cfRule type="expression" dxfId="873" priority="2462">
      <formula>$H79&lt;&gt;"-"</formula>
    </cfRule>
  </conditionalFormatting>
  <conditionalFormatting sqref="E79">
    <cfRule type="expression" dxfId="872" priority="2461">
      <formula>$I79&lt;&gt;"-"</formula>
    </cfRule>
  </conditionalFormatting>
  <conditionalFormatting sqref="B80">
    <cfRule type="expression" dxfId="871" priority="2458">
      <formula>AD80&lt;&gt;""</formula>
    </cfRule>
  </conditionalFormatting>
  <conditionalFormatting sqref="Z80">
    <cfRule type="cellIs" dxfId="870" priority="2456" operator="greaterThan">
      <formula>0</formula>
    </cfRule>
    <cfRule type="cellIs" dxfId="869" priority="2457" operator="lessThan">
      <formula>0</formula>
    </cfRule>
  </conditionalFormatting>
  <conditionalFormatting sqref="S80">
    <cfRule type="cellIs" dxfId="868" priority="2455" operator="lessThan">
      <formula>0</formula>
    </cfRule>
  </conditionalFormatting>
  <conditionalFormatting sqref="P80">
    <cfRule type="cellIs" dxfId="867" priority="2453" operator="equal">
      <formula>AS_DURATION_EFFORT</formula>
    </cfRule>
    <cfRule type="cellIs" dxfId="866" priority="2454" operator="equal">
      <formula>AS_DEV_EFFORT</formula>
    </cfRule>
  </conditionalFormatting>
  <conditionalFormatting sqref="F80">
    <cfRule type="expression" dxfId="865" priority="2452">
      <formula>$K80&lt;&gt;""</formula>
    </cfRule>
  </conditionalFormatting>
  <conditionalFormatting sqref="C80">
    <cfRule type="expression" dxfId="864" priority="2451">
      <formula>$G80&lt;&gt;"-"</formula>
    </cfRule>
  </conditionalFormatting>
  <conditionalFormatting sqref="D80">
    <cfRule type="expression" dxfId="863" priority="2450">
      <formula>$H80&lt;&gt;"-"</formula>
    </cfRule>
  </conditionalFormatting>
  <conditionalFormatting sqref="E80">
    <cfRule type="expression" dxfId="862" priority="2449">
      <formula>$I80&lt;&gt;"-"</formula>
    </cfRule>
  </conditionalFormatting>
  <conditionalFormatting sqref="B81">
    <cfRule type="expression" dxfId="861" priority="2446">
      <formula>AD81&lt;&gt;""</formula>
    </cfRule>
  </conditionalFormatting>
  <conditionalFormatting sqref="Z81">
    <cfRule type="cellIs" dxfId="860" priority="2444" operator="greaterThan">
      <formula>0</formula>
    </cfRule>
    <cfRule type="cellIs" dxfId="859" priority="2445" operator="lessThan">
      <formula>0</formula>
    </cfRule>
  </conditionalFormatting>
  <conditionalFormatting sqref="S81">
    <cfRule type="cellIs" dxfId="858" priority="2443" operator="lessThan">
      <formula>0</formula>
    </cfRule>
  </conditionalFormatting>
  <conditionalFormatting sqref="P81">
    <cfRule type="cellIs" dxfId="857" priority="2441" operator="equal">
      <formula>AS_DURATION_EFFORT</formula>
    </cfRule>
    <cfRule type="cellIs" dxfId="856" priority="2442" operator="equal">
      <formula>AS_DEV_EFFORT</formula>
    </cfRule>
  </conditionalFormatting>
  <conditionalFormatting sqref="F81">
    <cfRule type="expression" dxfId="855" priority="2440">
      <formula>$K81&lt;&gt;""</formula>
    </cfRule>
  </conditionalFormatting>
  <conditionalFormatting sqref="C81">
    <cfRule type="expression" dxfId="854" priority="2439">
      <formula>$G81&lt;&gt;"-"</formula>
    </cfRule>
  </conditionalFormatting>
  <conditionalFormatting sqref="D81">
    <cfRule type="expression" dxfId="853" priority="2438">
      <formula>$H81&lt;&gt;"-"</formula>
    </cfRule>
  </conditionalFormatting>
  <conditionalFormatting sqref="E81">
    <cfRule type="expression" dxfId="852" priority="2437">
      <formula>$I81&lt;&gt;"-"</formula>
    </cfRule>
  </conditionalFormatting>
  <conditionalFormatting sqref="B92">
    <cfRule type="expression" dxfId="851" priority="2398">
      <formula>AD92&lt;&gt;""</formula>
    </cfRule>
  </conditionalFormatting>
  <conditionalFormatting sqref="Z92">
    <cfRule type="cellIs" dxfId="850" priority="2396" operator="greaterThan">
      <formula>0</formula>
    </cfRule>
    <cfRule type="cellIs" dxfId="849" priority="2397" operator="lessThan">
      <formula>0</formula>
    </cfRule>
  </conditionalFormatting>
  <conditionalFormatting sqref="S92">
    <cfRule type="cellIs" dxfId="848" priority="2395" operator="lessThan">
      <formula>0</formula>
    </cfRule>
  </conditionalFormatting>
  <conditionalFormatting sqref="P92">
    <cfRule type="cellIs" dxfId="847" priority="2393" operator="equal">
      <formula>AS_DURATION_EFFORT</formula>
    </cfRule>
    <cfRule type="cellIs" dxfId="846" priority="2394" operator="equal">
      <formula>AS_DEV_EFFORT</formula>
    </cfRule>
  </conditionalFormatting>
  <conditionalFormatting sqref="F92">
    <cfRule type="expression" dxfId="845" priority="2392">
      <formula>$K92&lt;&gt;""</formula>
    </cfRule>
  </conditionalFormatting>
  <conditionalFormatting sqref="C92">
    <cfRule type="expression" dxfId="844" priority="2391">
      <formula>$G92&lt;&gt;"-"</formula>
    </cfRule>
  </conditionalFormatting>
  <conditionalFormatting sqref="D92">
    <cfRule type="expression" dxfId="843" priority="2390">
      <formula>$H92&lt;&gt;"-"</formula>
    </cfRule>
  </conditionalFormatting>
  <conditionalFormatting sqref="E92">
    <cfRule type="expression" dxfId="842" priority="2389">
      <formula>$I92&lt;&gt;"-"</formula>
    </cfRule>
  </conditionalFormatting>
  <conditionalFormatting sqref="B91">
    <cfRule type="expression" dxfId="841" priority="2386">
      <formula>AD91&lt;&gt;""</formula>
    </cfRule>
  </conditionalFormatting>
  <conditionalFormatting sqref="Z91">
    <cfRule type="cellIs" dxfId="840" priority="2384" operator="greaterThan">
      <formula>0</formula>
    </cfRule>
    <cfRule type="cellIs" dxfId="839" priority="2385" operator="lessThan">
      <formula>0</formula>
    </cfRule>
  </conditionalFormatting>
  <conditionalFormatting sqref="S91">
    <cfRule type="cellIs" dxfId="838" priority="2383" operator="lessThan">
      <formula>0</formula>
    </cfRule>
  </conditionalFormatting>
  <conditionalFormatting sqref="P91">
    <cfRule type="cellIs" dxfId="837" priority="2381" operator="equal">
      <formula>AS_DURATION_EFFORT</formula>
    </cfRule>
    <cfRule type="cellIs" dxfId="836" priority="2382" operator="equal">
      <formula>AS_DEV_EFFORT</formula>
    </cfRule>
  </conditionalFormatting>
  <conditionalFormatting sqref="F91">
    <cfRule type="expression" dxfId="835" priority="2380">
      <formula>$K91&lt;&gt;""</formula>
    </cfRule>
  </conditionalFormatting>
  <conditionalFormatting sqref="C91">
    <cfRule type="expression" dxfId="834" priority="2379">
      <formula>$G91&lt;&gt;"-"</formula>
    </cfRule>
  </conditionalFormatting>
  <conditionalFormatting sqref="D91">
    <cfRule type="expression" dxfId="833" priority="2378">
      <formula>$H91&lt;&gt;"-"</formula>
    </cfRule>
  </conditionalFormatting>
  <conditionalFormatting sqref="E91">
    <cfRule type="expression" dxfId="832" priority="2377">
      <formula>$I91&lt;&gt;"-"</formula>
    </cfRule>
  </conditionalFormatting>
  <conditionalFormatting sqref="B90">
    <cfRule type="expression" dxfId="831" priority="2374">
      <formula>AD90&lt;&gt;""</formula>
    </cfRule>
  </conditionalFormatting>
  <conditionalFormatting sqref="Z90">
    <cfRule type="cellIs" dxfId="830" priority="2372" operator="greaterThan">
      <formula>0</formula>
    </cfRule>
    <cfRule type="cellIs" dxfId="829" priority="2373" operator="lessThan">
      <formula>0</formula>
    </cfRule>
  </conditionalFormatting>
  <conditionalFormatting sqref="S90">
    <cfRule type="cellIs" dxfId="828" priority="2371" operator="lessThan">
      <formula>0</formula>
    </cfRule>
  </conditionalFormatting>
  <conditionalFormatting sqref="P90">
    <cfRule type="cellIs" dxfId="827" priority="2369" operator="equal">
      <formula>AS_DURATION_EFFORT</formula>
    </cfRule>
    <cfRule type="cellIs" dxfId="826" priority="2370" operator="equal">
      <formula>AS_DEV_EFFORT</formula>
    </cfRule>
  </conditionalFormatting>
  <conditionalFormatting sqref="F90">
    <cfRule type="expression" dxfId="825" priority="2368">
      <formula>$K90&lt;&gt;""</formula>
    </cfRule>
  </conditionalFormatting>
  <conditionalFormatting sqref="C90">
    <cfRule type="expression" dxfId="824" priority="2367">
      <formula>$G90&lt;&gt;"-"</formula>
    </cfRule>
  </conditionalFormatting>
  <conditionalFormatting sqref="D90">
    <cfRule type="expression" dxfId="823" priority="2366">
      <formula>$H90&lt;&gt;"-"</formula>
    </cfRule>
  </conditionalFormatting>
  <conditionalFormatting sqref="E90">
    <cfRule type="expression" dxfId="822" priority="2365">
      <formula>$I90&lt;&gt;"-"</formula>
    </cfRule>
  </conditionalFormatting>
  <conditionalFormatting sqref="B89">
    <cfRule type="expression" dxfId="821" priority="2362">
      <formula>AD89&lt;&gt;""</formula>
    </cfRule>
  </conditionalFormatting>
  <conditionalFormatting sqref="Z89">
    <cfRule type="cellIs" dxfId="820" priority="2360" operator="greaterThan">
      <formula>0</formula>
    </cfRule>
    <cfRule type="cellIs" dxfId="819" priority="2361" operator="lessThan">
      <formula>0</formula>
    </cfRule>
  </conditionalFormatting>
  <conditionalFormatting sqref="S89">
    <cfRule type="cellIs" dxfId="818" priority="2359" operator="lessThan">
      <formula>0</formula>
    </cfRule>
  </conditionalFormatting>
  <conditionalFormatting sqref="P89">
    <cfRule type="cellIs" dxfId="817" priority="2357" operator="equal">
      <formula>AS_DURATION_EFFORT</formula>
    </cfRule>
    <cfRule type="cellIs" dxfId="816" priority="2358" operator="equal">
      <formula>AS_DEV_EFFORT</formula>
    </cfRule>
  </conditionalFormatting>
  <conditionalFormatting sqref="F89">
    <cfRule type="expression" dxfId="815" priority="2356">
      <formula>$K89&lt;&gt;""</formula>
    </cfRule>
  </conditionalFormatting>
  <conditionalFormatting sqref="C89">
    <cfRule type="expression" dxfId="814" priority="2355">
      <formula>$G89&lt;&gt;"-"</formula>
    </cfRule>
  </conditionalFormatting>
  <conditionalFormatting sqref="D89">
    <cfRule type="expression" dxfId="813" priority="2354">
      <formula>$H89&lt;&gt;"-"</formula>
    </cfRule>
  </conditionalFormatting>
  <conditionalFormatting sqref="E89">
    <cfRule type="expression" dxfId="812" priority="2353">
      <formula>$I89&lt;&gt;"-"</formula>
    </cfRule>
  </conditionalFormatting>
  <conditionalFormatting sqref="B88">
    <cfRule type="expression" dxfId="811" priority="2350">
      <formula>AD88&lt;&gt;""</formula>
    </cfRule>
  </conditionalFormatting>
  <conditionalFormatting sqref="Z88">
    <cfRule type="cellIs" dxfId="810" priority="2348" operator="greaterThan">
      <formula>0</formula>
    </cfRule>
    <cfRule type="cellIs" dxfId="809" priority="2349" operator="lessThan">
      <formula>0</formula>
    </cfRule>
  </conditionalFormatting>
  <conditionalFormatting sqref="S88">
    <cfRule type="cellIs" dxfId="808" priority="2347" operator="lessThan">
      <formula>0</formula>
    </cfRule>
  </conditionalFormatting>
  <conditionalFormatting sqref="P88">
    <cfRule type="cellIs" dxfId="807" priority="2345" operator="equal">
      <formula>AS_DURATION_EFFORT</formula>
    </cfRule>
    <cfRule type="cellIs" dxfId="806" priority="2346" operator="equal">
      <formula>AS_DEV_EFFORT</formula>
    </cfRule>
  </conditionalFormatting>
  <conditionalFormatting sqref="F88">
    <cfRule type="expression" dxfId="805" priority="2344">
      <formula>$K88&lt;&gt;""</formula>
    </cfRule>
  </conditionalFormatting>
  <conditionalFormatting sqref="C88">
    <cfRule type="expression" dxfId="804" priority="2343">
      <formula>$G88&lt;&gt;"-"</formula>
    </cfRule>
  </conditionalFormatting>
  <conditionalFormatting sqref="D88">
    <cfRule type="expression" dxfId="803" priority="2342">
      <formula>$H88&lt;&gt;"-"</formula>
    </cfRule>
  </conditionalFormatting>
  <conditionalFormatting sqref="E88">
    <cfRule type="expression" dxfId="802" priority="2341">
      <formula>$I88&lt;&gt;"-"</formula>
    </cfRule>
  </conditionalFormatting>
  <conditionalFormatting sqref="B87">
    <cfRule type="expression" dxfId="801" priority="2338">
      <formula>AD87&lt;&gt;""</formula>
    </cfRule>
  </conditionalFormatting>
  <conditionalFormatting sqref="Z87">
    <cfRule type="cellIs" dxfId="800" priority="2336" operator="greaterThan">
      <formula>0</formula>
    </cfRule>
    <cfRule type="cellIs" dxfId="799" priority="2337" operator="lessThan">
      <formula>0</formula>
    </cfRule>
  </conditionalFormatting>
  <conditionalFormatting sqref="S87">
    <cfRule type="cellIs" dxfId="798" priority="2335" operator="lessThan">
      <formula>0</formula>
    </cfRule>
  </conditionalFormatting>
  <conditionalFormatting sqref="P87">
    <cfRule type="cellIs" dxfId="797" priority="2333" operator="equal">
      <formula>AS_DURATION_EFFORT</formula>
    </cfRule>
    <cfRule type="cellIs" dxfId="796" priority="2334" operator="equal">
      <formula>AS_DEV_EFFORT</formula>
    </cfRule>
  </conditionalFormatting>
  <conditionalFormatting sqref="F87">
    <cfRule type="expression" dxfId="795" priority="2332">
      <formula>$K87&lt;&gt;""</formula>
    </cfRule>
  </conditionalFormatting>
  <conditionalFormatting sqref="C87">
    <cfRule type="expression" dxfId="794" priority="2331">
      <formula>$G87&lt;&gt;"-"</formula>
    </cfRule>
  </conditionalFormatting>
  <conditionalFormatting sqref="D87">
    <cfRule type="expression" dxfId="793" priority="2330">
      <formula>$H87&lt;&gt;"-"</formula>
    </cfRule>
  </conditionalFormatting>
  <conditionalFormatting sqref="E87">
    <cfRule type="expression" dxfId="792" priority="2329">
      <formula>$I87&lt;&gt;"-"</formula>
    </cfRule>
  </conditionalFormatting>
  <conditionalFormatting sqref="B86">
    <cfRule type="expression" dxfId="791" priority="2326">
      <formula>AD86&lt;&gt;""</formula>
    </cfRule>
  </conditionalFormatting>
  <conditionalFormatting sqref="Z86">
    <cfRule type="cellIs" dxfId="790" priority="2324" operator="greaterThan">
      <formula>0</formula>
    </cfRule>
    <cfRule type="cellIs" dxfId="789" priority="2325" operator="lessThan">
      <formula>0</formula>
    </cfRule>
  </conditionalFormatting>
  <conditionalFormatting sqref="S86">
    <cfRule type="cellIs" dxfId="788" priority="2323" operator="lessThan">
      <formula>0</formula>
    </cfRule>
  </conditionalFormatting>
  <conditionalFormatting sqref="P86">
    <cfRule type="cellIs" dxfId="787" priority="2321" operator="equal">
      <formula>AS_DURATION_EFFORT</formula>
    </cfRule>
    <cfRule type="cellIs" dxfId="786" priority="2322" operator="equal">
      <formula>AS_DEV_EFFORT</formula>
    </cfRule>
  </conditionalFormatting>
  <conditionalFormatting sqref="F86">
    <cfRule type="expression" dxfId="785" priority="2320">
      <formula>$K86&lt;&gt;""</formula>
    </cfRule>
  </conditionalFormatting>
  <conditionalFormatting sqref="C86">
    <cfRule type="expression" dxfId="784" priority="2319">
      <formula>$G86&lt;&gt;"-"</formula>
    </cfRule>
  </conditionalFormatting>
  <conditionalFormatting sqref="D86">
    <cfRule type="expression" dxfId="783" priority="2318">
      <formula>$H86&lt;&gt;"-"</formula>
    </cfRule>
  </conditionalFormatting>
  <conditionalFormatting sqref="E86">
    <cfRule type="expression" dxfId="782" priority="2317">
      <formula>$I86&lt;&gt;"-"</formula>
    </cfRule>
  </conditionalFormatting>
  <conditionalFormatting sqref="B102">
    <cfRule type="expression" dxfId="781" priority="2278">
      <formula>AD102&lt;&gt;""</formula>
    </cfRule>
  </conditionalFormatting>
  <conditionalFormatting sqref="Z102">
    <cfRule type="cellIs" dxfId="780" priority="2276" operator="greaterThan">
      <formula>0</formula>
    </cfRule>
    <cfRule type="cellIs" dxfId="779" priority="2277" operator="lessThan">
      <formula>0</formula>
    </cfRule>
  </conditionalFormatting>
  <conditionalFormatting sqref="S102">
    <cfRule type="cellIs" dxfId="778" priority="2275" operator="lessThan">
      <formula>0</formula>
    </cfRule>
  </conditionalFormatting>
  <conditionalFormatting sqref="P102">
    <cfRule type="cellIs" dxfId="777" priority="2273" operator="equal">
      <formula>AS_DURATION_EFFORT</formula>
    </cfRule>
    <cfRule type="cellIs" dxfId="776" priority="2274" operator="equal">
      <formula>AS_DEV_EFFORT</formula>
    </cfRule>
  </conditionalFormatting>
  <conditionalFormatting sqref="F102">
    <cfRule type="expression" dxfId="775" priority="2272">
      <formula>$K102&lt;&gt;""</formula>
    </cfRule>
  </conditionalFormatting>
  <conditionalFormatting sqref="C102">
    <cfRule type="expression" dxfId="774" priority="2271">
      <formula>$G102&lt;&gt;"-"</formula>
    </cfRule>
  </conditionalFormatting>
  <conditionalFormatting sqref="D102">
    <cfRule type="expression" dxfId="773" priority="2270">
      <formula>$H102&lt;&gt;"-"</formula>
    </cfRule>
  </conditionalFormatting>
  <conditionalFormatting sqref="E102">
    <cfRule type="expression" dxfId="772" priority="2269">
      <formula>$I102&lt;&gt;"-"</formula>
    </cfRule>
  </conditionalFormatting>
  <conditionalFormatting sqref="B101">
    <cfRule type="expression" dxfId="771" priority="2266">
      <formula>AD101&lt;&gt;""</formula>
    </cfRule>
  </conditionalFormatting>
  <conditionalFormatting sqref="Z101">
    <cfRule type="cellIs" dxfId="770" priority="2264" operator="greaterThan">
      <formula>0</formula>
    </cfRule>
    <cfRule type="cellIs" dxfId="769" priority="2265" operator="lessThan">
      <formula>0</formula>
    </cfRule>
  </conditionalFormatting>
  <conditionalFormatting sqref="S101">
    <cfRule type="cellIs" dxfId="768" priority="2263" operator="lessThan">
      <formula>0</formula>
    </cfRule>
  </conditionalFormatting>
  <conditionalFormatting sqref="P101">
    <cfRule type="cellIs" dxfId="767" priority="2261" operator="equal">
      <formula>AS_DURATION_EFFORT</formula>
    </cfRule>
    <cfRule type="cellIs" dxfId="766" priority="2262" operator="equal">
      <formula>AS_DEV_EFFORT</formula>
    </cfRule>
  </conditionalFormatting>
  <conditionalFormatting sqref="F101">
    <cfRule type="expression" dxfId="765" priority="2260">
      <formula>$K101&lt;&gt;""</formula>
    </cfRule>
  </conditionalFormatting>
  <conditionalFormatting sqref="C101">
    <cfRule type="expression" dxfId="764" priority="2259">
      <formula>$G101&lt;&gt;"-"</formula>
    </cfRule>
  </conditionalFormatting>
  <conditionalFormatting sqref="D101">
    <cfRule type="expression" dxfId="763" priority="2258">
      <formula>$H101&lt;&gt;"-"</formula>
    </cfRule>
  </conditionalFormatting>
  <conditionalFormatting sqref="E101">
    <cfRule type="expression" dxfId="762" priority="2257">
      <formula>$I101&lt;&gt;"-"</formula>
    </cfRule>
  </conditionalFormatting>
  <conditionalFormatting sqref="B100">
    <cfRule type="expression" dxfId="761" priority="2254">
      <formula>AD100&lt;&gt;""</formula>
    </cfRule>
  </conditionalFormatting>
  <conditionalFormatting sqref="Z100">
    <cfRule type="cellIs" dxfId="760" priority="2252" operator="greaterThan">
      <formula>0</formula>
    </cfRule>
    <cfRule type="cellIs" dxfId="759" priority="2253" operator="lessThan">
      <formula>0</formula>
    </cfRule>
  </conditionalFormatting>
  <conditionalFormatting sqref="S100">
    <cfRule type="cellIs" dxfId="758" priority="2251" operator="lessThan">
      <formula>0</formula>
    </cfRule>
  </conditionalFormatting>
  <conditionalFormatting sqref="P100">
    <cfRule type="cellIs" dxfId="757" priority="2249" operator="equal">
      <formula>AS_DURATION_EFFORT</formula>
    </cfRule>
    <cfRule type="cellIs" dxfId="756" priority="2250" operator="equal">
      <formula>AS_DEV_EFFORT</formula>
    </cfRule>
  </conditionalFormatting>
  <conditionalFormatting sqref="F100">
    <cfRule type="expression" dxfId="755" priority="2248">
      <formula>$K100&lt;&gt;""</formula>
    </cfRule>
  </conditionalFormatting>
  <conditionalFormatting sqref="C100">
    <cfRule type="expression" dxfId="754" priority="2247">
      <formula>$G100&lt;&gt;"-"</formula>
    </cfRule>
  </conditionalFormatting>
  <conditionalFormatting sqref="D100">
    <cfRule type="expression" dxfId="753" priority="2246">
      <formula>$H100&lt;&gt;"-"</formula>
    </cfRule>
  </conditionalFormatting>
  <conditionalFormatting sqref="E100">
    <cfRule type="expression" dxfId="752" priority="2245">
      <formula>$I100&lt;&gt;"-"</formula>
    </cfRule>
  </conditionalFormatting>
  <conditionalFormatting sqref="B110">
    <cfRule type="expression" dxfId="751" priority="2242">
      <formula>AD110&lt;&gt;""</formula>
    </cfRule>
  </conditionalFormatting>
  <conditionalFormatting sqref="Z110">
    <cfRule type="cellIs" dxfId="750" priority="2240" operator="greaterThan">
      <formula>0</formula>
    </cfRule>
    <cfRule type="cellIs" dxfId="749" priority="2241" operator="lessThan">
      <formula>0</formula>
    </cfRule>
  </conditionalFormatting>
  <conditionalFormatting sqref="S110">
    <cfRule type="cellIs" dxfId="748" priority="2239" operator="lessThan">
      <formula>0</formula>
    </cfRule>
  </conditionalFormatting>
  <conditionalFormatting sqref="P110">
    <cfRule type="cellIs" dxfId="747" priority="2237" operator="equal">
      <formula>AS_DURATION_EFFORT</formula>
    </cfRule>
    <cfRule type="cellIs" dxfId="746" priority="2238" operator="equal">
      <formula>AS_DEV_EFFORT</formula>
    </cfRule>
  </conditionalFormatting>
  <conditionalFormatting sqref="F110">
    <cfRule type="expression" dxfId="745" priority="2236">
      <formula>$K110&lt;&gt;""</formula>
    </cfRule>
  </conditionalFormatting>
  <conditionalFormatting sqref="C110">
    <cfRule type="expression" dxfId="744" priority="2235">
      <formula>$G110&lt;&gt;"-"</formula>
    </cfRule>
  </conditionalFormatting>
  <conditionalFormatting sqref="D110">
    <cfRule type="expression" dxfId="743" priority="2234">
      <formula>$H110&lt;&gt;"-"</formula>
    </cfRule>
  </conditionalFormatting>
  <conditionalFormatting sqref="E110">
    <cfRule type="expression" dxfId="742" priority="2233">
      <formula>$I110&lt;&gt;"-"</formula>
    </cfRule>
  </conditionalFormatting>
  <conditionalFormatting sqref="B109">
    <cfRule type="expression" dxfId="741" priority="2230">
      <formula>AD109&lt;&gt;""</formula>
    </cfRule>
  </conditionalFormatting>
  <conditionalFormatting sqref="Z109">
    <cfRule type="cellIs" dxfId="740" priority="2228" operator="greaterThan">
      <formula>0</formula>
    </cfRule>
    <cfRule type="cellIs" dxfId="739" priority="2229" operator="lessThan">
      <formula>0</formula>
    </cfRule>
  </conditionalFormatting>
  <conditionalFormatting sqref="S109">
    <cfRule type="cellIs" dxfId="738" priority="2227" operator="lessThan">
      <formula>0</formula>
    </cfRule>
  </conditionalFormatting>
  <conditionalFormatting sqref="P109">
    <cfRule type="cellIs" dxfId="737" priority="2225" operator="equal">
      <formula>AS_DURATION_EFFORT</formula>
    </cfRule>
    <cfRule type="cellIs" dxfId="736" priority="2226" operator="equal">
      <formula>AS_DEV_EFFORT</formula>
    </cfRule>
  </conditionalFormatting>
  <conditionalFormatting sqref="F109">
    <cfRule type="expression" dxfId="735" priority="2224">
      <formula>$K109&lt;&gt;""</formula>
    </cfRule>
  </conditionalFormatting>
  <conditionalFormatting sqref="C109">
    <cfRule type="expression" dxfId="734" priority="2223">
      <formula>$G109&lt;&gt;"-"</formula>
    </cfRule>
  </conditionalFormatting>
  <conditionalFormatting sqref="D109">
    <cfRule type="expression" dxfId="733" priority="2222">
      <formula>$H109&lt;&gt;"-"</formula>
    </cfRule>
  </conditionalFormatting>
  <conditionalFormatting sqref="E109">
    <cfRule type="expression" dxfId="732" priority="2221">
      <formula>$I109&lt;&gt;"-"</formula>
    </cfRule>
  </conditionalFormatting>
  <conditionalFormatting sqref="B108">
    <cfRule type="expression" dxfId="731" priority="2218">
      <formula>AD108&lt;&gt;""</formula>
    </cfRule>
  </conditionalFormatting>
  <conditionalFormatting sqref="Z108">
    <cfRule type="cellIs" dxfId="730" priority="2216" operator="greaterThan">
      <formula>0</formula>
    </cfRule>
    <cfRule type="cellIs" dxfId="729" priority="2217" operator="lessThan">
      <formula>0</formula>
    </cfRule>
  </conditionalFormatting>
  <conditionalFormatting sqref="S108">
    <cfRule type="cellIs" dxfId="728" priority="2215" operator="lessThan">
      <formula>0</formula>
    </cfRule>
  </conditionalFormatting>
  <conditionalFormatting sqref="P108">
    <cfRule type="cellIs" dxfId="727" priority="2213" operator="equal">
      <formula>AS_DURATION_EFFORT</formula>
    </cfRule>
    <cfRule type="cellIs" dxfId="726" priority="2214" operator="equal">
      <formula>AS_DEV_EFFORT</formula>
    </cfRule>
  </conditionalFormatting>
  <conditionalFormatting sqref="F108">
    <cfRule type="expression" dxfId="725" priority="2212">
      <formula>$K108&lt;&gt;""</formula>
    </cfRule>
  </conditionalFormatting>
  <conditionalFormatting sqref="C108">
    <cfRule type="expression" dxfId="724" priority="2211">
      <formula>$G108&lt;&gt;"-"</formula>
    </cfRule>
  </conditionalFormatting>
  <conditionalFormatting sqref="D108">
    <cfRule type="expression" dxfId="723" priority="2210">
      <formula>$H108&lt;&gt;"-"</formula>
    </cfRule>
  </conditionalFormatting>
  <conditionalFormatting sqref="E108">
    <cfRule type="expression" dxfId="722" priority="2209">
      <formula>$I108&lt;&gt;"-"</formula>
    </cfRule>
  </conditionalFormatting>
  <conditionalFormatting sqref="B107">
    <cfRule type="expression" dxfId="721" priority="2206">
      <formula>AD107&lt;&gt;""</formula>
    </cfRule>
  </conditionalFormatting>
  <conditionalFormatting sqref="Z107">
    <cfRule type="cellIs" dxfId="720" priority="2204" operator="greaterThan">
      <formula>0</formula>
    </cfRule>
    <cfRule type="cellIs" dxfId="719" priority="2205" operator="lessThan">
      <formula>0</formula>
    </cfRule>
  </conditionalFormatting>
  <conditionalFormatting sqref="S107">
    <cfRule type="cellIs" dxfId="718" priority="2203" operator="lessThan">
      <formula>0</formula>
    </cfRule>
  </conditionalFormatting>
  <conditionalFormatting sqref="P107">
    <cfRule type="cellIs" dxfId="717" priority="2201" operator="equal">
      <formula>AS_DURATION_EFFORT</formula>
    </cfRule>
    <cfRule type="cellIs" dxfId="716" priority="2202" operator="equal">
      <formula>AS_DEV_EFFORT</formula>
    </cfRule>
  </conditionalFormatting>
  <conditionalFormatting sqref="F107">
    <cfRule type="expression" dxfId="715" priority="2200">
      <formula>$K107&lt;&gt;""</formula>
    </cfRule>
  </conditionalFormatting>
  <conditionalFormatting sqref="C107">
    <cfRule type="expression" dxfId="714" priority="2199">
      <formula>$G107&lt;&gt;"-"</formula>
    </cfRule>
  </conditionalFormatting>
  <conditionalFormatting sqref="D107">
    <cfRule type="expression" dxfId="713" priority="2198">
      <formula>$H107&lt;&gt;"-"</formula>
    </cfRule>
  </conditionalFormatting>
  <conditionalFormatting sqref="E107">
    <cfRule type="expression" dxfId="712" priority="2197">
      <formula>$I107&lt;&gt;"-"</formula>
    </cfRule>
  </conditionalFormatting>
  <conditionalFormatting sqref="B116">
    <cfRule type="expression" dxfId="711" priority="2194">
      <formula>AD116&lt;&gt;""</formula>
    </cfRule>
  </conditionalFormatting>
  <conditionalFormatting sqref="Z116">
    <cfRule type="cellIs" dxfId="710" priority="2192" operator="greaterThan">
      <formula>0</formula>
    </cfRule>
    <cfRule type="cellIs" dxfId="709" priority="2193" operator="lessThan">
      <formula>0</formula>
    </cfRule>
  </conditionalFormatting>
  <conditionalFormatting sqref="S116">
    <cfRule type="cellIs" dxfId="708" priority="2191" operator="lessThan">
      <formula>0</formula>
    </cfRule>
  </conditionalFormatting>
  <conditionalFormatting sqref="P116">
    <cfRule type="cellIs" dxfId="707" priority="2189" operator="equal">
      <formula>AS_DURATION_EFFORT</formula>
    </cfRule>
    <cfRule type="cellIs" dxfId="706" priority="2190" operator="equal">
      <formula>AS_DEV_EFFORT</formula>
    </cfRule>
  </conditionalFormatting>
  <conditionalFormatting sqref="F116">
    <cfRule type="expression" dxfId="705" priority="2188">
      <formula>$K116&lt;&gt;""</formula>
    </cfRule>
  </conditionalFormatting>
  <conditionalFormatting sqref="C116">
    <cfRule type="expression" dxfId="704" priority="2187">
      <formula>$G116&lt;&gt;"-"</formula>
    </cfRule>
  </conditionalFormatting>
  <conditionalFormatting sqref="D116">
    <cfRule type="expression" dxfId="703" priority="2186">
      <formula>$H116&lt;&gt;"-"</formula>
    </cfRule>
  </conditionalFormatting>
  <conditionalFormatting sqref="E116">
    <cfRule type="expression" dxfId="702" priority="2185">
      <formula>$I116&lt;&gt;"-"</formula>
    </cfRule>
  </conditionalFormatting>
  <conditionalFormatting sqref="S118">
    <cfRule type="expression" dxfId="701" priority="2184">
      <formula>#REF!="Yes"</formula>
    </cfRule>
  </conditionalFormatting>
  <conditionalFormatting sqref="B118">
    <cfRule type="expression" dxfId="700" priority="2183">
      <formula>AD118&lt;&gt;""</formula>
    </cfRule>
  </conditionalFormatting>
  <conditionalFormatting sqref="B126">
    <cfRule type="expression" dxfId="699" priority="2179">
      <formula>AD126&lt;&gt;""</formula>
    </cfRule>
  </conditionalFormatting>
  <conditionalFormatting sqref="Z126">
    <cfRule type="cellIs" dxfId="698" priority="2177" operator="greaterThan">
      <formula>0</formula>
    </cfRule>
    <cfRule type="cellIs" dxfId="697" priority="2178" operator="lessThan">
      <formula>0</formula>
    </cfRule>
  </conditionalFormatting>
  <conditionalFormatting sqref="S126">
    <cfRule type="cellIs" dxfId="696" priority="2176" operator="lessThan">
      <formula>0</formula>
    </cfRule>
  </conditionalFormatting>
  <conditionalFormatting sqref="T124:T125">
    <cfRule type="expression" dxfId="695" priority="2180">
      <formula>#REF!="Yes"</formula>
    </cfRule>
  </conditionalFormatting>
  <conditionalFormatting sqref="P126">
    <cfRule type="cellIs" dxfId="694" priority="2174" operator="equal">
      <formula>AS_DURATION_EFFORT</formula>
    </cfRule>
    <cfRule type="cellIs" dxfId="693" priority="2175" operator="equal">
      <formula>AS_DEV_EFFORT</formula>
    </cfRule>
  </conditionalFormatting>
  <conditionalFormatting sqref="B124:B125">
    <cfRule type="expression" dxfId="692" priority="2173">
      <formula>AD124&lt;&gt;""</formula>
    </cfRule>
  </conditionalFormatting>
  <conditionalFormatting sqref="F126">
    <cfRule type="expression" dxfId="691" priority="2172">
      <formula>$K126&lt;&gt;""</formula>
    </cfRule>
  </conditionalFormatting>
  <conditionalFormatting sqref="C126">
    <cfRule type="expression" dxfId="690" priority="2171">
      <formula>$G126&lt;&gt;"-"</formula>
    </cfRule>
  </conditionalFormatting>
  <conditionalFormatting sqref="D126">
    <cfRule type="expression" dxfId="689" priority="2170">
      <formula>$H126&lt;&gt;"-"</formula>
    </cfRule>
  </conditionalFormatting>
  <conditionalFormatting sqref="E126">
    <cfRule type="expression" dxfId="688" priority="2169">
      <formula>$I126&lt;&gt;"-"</formula>
    </cfRule>
  </conditionalFormatting>
  <conditionalFormatting sqref="B122">
    <cfRule type="expression" dxfId="687" priority="2166">
      <formula>AD122&lt;&gt;""</formula>
    </cfRule>
  </conditionalFormatting>
  <conditionalFormatting sqref="Z122">
    <cfRule type="cellIs" dxfId="686" priority="2164" operator="greaterThan">
      <formula>0</formula>
    </cfRule>
    <cfRule type="cellIs" dxfId="685" priority="2165" operator="lessThan">
      <formula>0</formula>
    </cfRule>
  </conditionalFormatting>
  <conditionalFormatting sqref="S122">
    <cfRule type="cellIs" dxfId="684" priority="2163" operator="lessThan">
      <formula>0</formula>
    </cfRule>
  </conditionalFormatting>
  <conditionalFormatting sqref="P122">
    <cfRule type="cellIs" dxfId="683" priority="2161" operator="equal">
      <formula>AS_DURATION_EFFORT</formula>
    </cfRule>
    <cfRule type="cellIs" dxfId="682" priority="2162" operator="equal">
      <formula>AS_DEV_EFFORT</formula>
    </cfRule>
  </conditionalFormatting>
  <conditionalFormatting sqref="F122">
    <cfRule type="expression" dxfId="681" priority="2160">
      <formula>$K122&lt;&gt;""</formula>
    </cfRule>
  </conditionalFormatting>
  <conditionalFormatting sqref="C122">
    <cfRule type="expression" dxfId="680" priority="2159">
      <formula>$G122&lt;&gt;"-"</formula>
    </cfRule>
  </conditionalFormatting>
  <conditionalFormatting sqref="D122">
    <cfRule type="expression" dxfId="679" priority="2158">
      <formula>$H122&lt;&gt;"-"</formula>
    </cfRule>
  </conditionalFormatting>
  <conditionalFormatting sqref="E122">
    <cfRule type="expression" dxfId="678" priority="2157">
      <formula>$I122&lt;&gt;"-"</formula>
    </cfRule>
  </conditionalFormatting>
  <conditionalFormatting sqref="B153">
    <cfRule type="expression" dxfId="677" priority="2149">
      <formula>AD153&lt;&gt;""</formula>
    </cfRule>
  </conditionalFormatting>
  <conditionalFormatting sqref="Z153">
    <cfRule type="cellIs" dxfId="676" priority="2147" operator="greaterThan">
      <formula>0</formula>
    </cfRule>
    <cfRule type="cellIs" dxfId="675" priority="2148" operator="lessThan">
      <formula>0</formula>
    </cfRule>
  </conditionalFormatting>
  <conditionalFormatting sqref="S153">
    <cfRule type="cellIs" dxfId="674" priority="2146" operator="lessThan">
      <formula>0</formula>
    </cfRule>
  </conditionalFormatting>
  <conditionalFormatting sqref="T151:T152">
    <cfRule type="expression" dxfId="673" priority="2150">
      <formula>#REF!="Yes"</formula>
    </cfRule>
  </conditionalFormatting>
  <conditionalFormatting sqref="P153">
    <cfRule type="cellIs" dxfId="672" priority="2144" operator="equal">
      <formula>AS_DURATION_EFFORT</formula>
    </cfRule>
    <cfRule type="cellIs" dxfId="671" priority="2145" operator="equal">
      <formula>AS_DEV_EFFORT</formula>
    </cfRule>
  </conditionalFormatting>
  <conditionalFormatting sqref="B151:B152">
    <cfRule type="expression" dxfId="670" priority="2143">
      <formula>AD151&lt;&gt;""</formula>
    </cfRule>
  </conditionalFormatting>
  <conditionalFormatting sqref="F153">
    <cfRule type="expression" dxfId="669" priority="2142">
      <formula>$K153&lt;&gt;""</formula>
    </cfRule>
  </conditionalFormatting>
  <conditionalFormatting sqref="C153">
    <cfRule type="expression" dxfId="668" priority="2141">
      <formula>$G153&lt;&gt;"-"</formula>
    </cfRule>
  </conditionalFormatting>
  <conditionalFormatting sqref="D153">
    <cfRule type="expression" dxfId="667" priority="2140">
      <formula>$H153&lt;&gt;"-"</formula>
    </cfRule>
  </conditionalFormatting>
  <conditionalFormatting sqref="E153">
    <cfRule type="expression" dxfId="666" priority="2139">
      <formula>$I153&lt;&gt;"-"</formula>
    </cfRule>
  </conditionalFormatting>
  <conditionalFormatting sqref="B154">
    <cfRule type="expression" dxfId="665" priority="2136">
      <formula>AD154&lt;&gt;""</formula>
    </cfRule>
  </conditionalFormatting>
  <conditionalFormatting sqref="Z154">
    <cfRule type="cellIs" dxfId="664" priority="2134" operator="greaterThan">
      <formula>0</formula>
    </cfRule>
    <cfRule type="cellIs" dxfId="663" priority="2135" operator="lessThan">
      <formula>0</formula>
    </cfRule>
  </conditionalFormatting>
  <conditionalFormatting sqref="S154">
    <cfRule type="cellIs" dxfId="662" priority="2133" operator="lessThan">
      <formula>0</formula>
    </cfRule>
  </conditionalFormatting>
  <conditionalFormatting sqref="F154">
    <cfRule type="expression" dxfId="661" priority="2130">
      <formula>$K154&lt;&gt;""</formula>
    </cfRule>
  </conditionalFormatting>
  <conditionalFormatting sqref="C154">
    <cfRule type="expression" dxfId="660" priority="2129">
      <formula>$G154&lt;&gt;"-"</formula>
    </cfRule>
  </conditionalFormatting>
  <conditionalFormatting sqref="D154">
    <cfRule type="expression" dxfId="659" priority="2128">
      <formula>$H154&lt;&gt;"-"</formula>
    </cfRule>
  </conditionalFormatting>
  <conditionalFormatting sqref="E154">
    <cfRule type="expression" dxfId="658" priority="2127">
      <formula>$I154&lt;&gt;"-"</formula>
    </cfRule>
  </conditionalFormatting>
  <conditionalFormatting sqref="B158">
    <cfRule type="expression" dxfId="657" priority="2123">
      <formula>AD158&lt;&gt;""</formula>
    </cfRule>
  </conditionalFormatting>
  <conditionalFormatting sqref="Z158">
    <cfRule type="cellIs" dxfId="656" priority="2121" operator="greaterThan">
      <formula>0</formula>
    </cfRule>
    <cfRule type="cellIs" dxfId="655" priority="2122" operator="lessThan">
      <formula>0</formula>
    </cfRule>
  </conditionalFormatting>
  <conditionalFormatting sqref="S158">
    <cfRule type="cellIs" dxfId="654" priority="2120" operator="lessThan">
      <formula>0</formula>
    </cfRule>
  </conditionalFormatting>
  <conditionalFormatting sqref="T156:T157">
    <cfRule type="expression" dxfId="653" priority="2124">
      <formula>#REF!="Yes"</formula>
    </cfRule>
  </conditionalFormatting>
  <conditionalFormatting sqref="P165">
    <cfRule type="cellIs" dxfId="652" priority="2060" operator="equal">
      <formula>AS_DURATION_EFFORT</formula>
    </cfRule>
    <cfRule type="cellIs" dxfId="651" priority="2061" operator="equal">
      <formula>AS_DEV_EFFORT</formula>
    </cfRule>
  </conditionalFormatting>
  <conditionalFormatting sqref="B156:B157">
    <cfRule type="expression" dxfId="650" priority="2117">
      <formula>AD156&lt;&gt;""</formula>
    </cfRule>
  </conditionalFormatting>
  <conditionalFormatting sqref="F158">
    <cfRule type="expression" dxfId="649" priority="2116">
      <formula>$K158&lt;&gt;""</formula>
    </cfRule>
  </conditionalFormatting>
  <conditionalFormatting sqref="C158">
    <cfRule type="expression" dxfId="648" priority="2115">
      <formula>$G158&lt;&gt;"-"</formula>
    </cfRule>
  </conditionalFormatting>
  <conditionalFormatting sqref="D158">
    <cfRule type="expression" dxfId="647" priority="2114">
      <formula>$H158&lt;&gt;"-"</formula>
    </cfRule>
  </conditionalFormatting>
  <conditionalFormatting sqref="E158">
    <cfRule type="expression" dxfId="646" priority="2113">
      <formula>$I158&lt;&gt;"-"</formula>
    </cfRule>
  </conditionalFormatting>
  <conditionalFormatting sqref="B159">
    <cfRule type="expression" dxfId="645" priority="2110">
      <formula>AD159&lt;&gt;""</formula>
    </cfRule>
  </conditionalFormatting>
  <conditionalFormatting sqref="Z159">
    <cfRule type="cellIs" dxfId="644" priority="2108" operator="greaterThan">
      <formula>0</formula>
    </cfRule>
    <cfRule type="cellIs" dxfId="643" priority="2109" operator="lessThan">
      <formula>0</formula>
    </cfRule>
  </conditionalFormatting>
  <conditionalFormatting sqref="S159">
    <cfRule type="cellIs" dxfId="642" priority="2107" operator="lessThan">
      <formula>0</formula>
    </cfRule>
  </conditionalFormatting>
  <conditionalFormatting sqref="P160">
    <cfRule type="cellIs" dxfId="641" priority="2071" operator="equal">
      <formula>AS_DURATION_EFFORT</formula>
    </cfRule>
    <cfRule type="cellIs" dxfId="640" priority="2072" operator="equal">
      <formula>AS_DEV_EFFORT</formula>
    </cfRule>
  </conditionalFormatting>
  <conditionalFormatting sqref="F159">
    <cfRule type="expression" dxfId="639" priority="2104">
      <formula>$K159&lt;&gt;""</formula>
    </cfRule>
  </conditionalFormatting>
  <conditionalFormatting sqref="C159">
    <cfRule type="expression" dxfId="638" priority="2103">
      <formula>$G159&lt;&gt;"-"</formula>
    </cfRule>
  </conditionalFormatting>
  <conditionalFormatting sqref="D159">
    <cfRule type="expression" dxfId="637" priority="2102">
      <formula>$H159&lt;&gt;"-"</formula>
    </cfRule>
  </conditionalFormatting>
  <conditionalFormatting sqref="E159">
    <cfRule type="expression" dxfId="636" priority="2101">
      <formula>$I159&lt;&gt;"-"</formula>
    </cfRule>
  </conditionalFormatting>
  <conditionalFormatting sqref="B161">
    <cfRule type="expression" dxfId="635" priority="2098">
      <formula>AD161&lt;&gt;""</formula>
    </cfRule>
  </conditionalFormatting>
  <conditionalFormatting sqref="Z161">
    <cfRule type="cellIs" dxfId="634" priority="2096" operator="greaterThan">
      <formula>0</formula>
    </cfRule>
    <cfRule type="cellIs" dxfId="633" priority="2097" operator="lessThan">
      <formula>0</formula>
    </cfRule>
  </conditionalFormatting>
  <conditionalFormatting sqref="S161">
    <cfRule type="cellIs" dxfId="632" priority="2095" operator="lessThan">
      <formula>0</formula>
    </cfRule>
  </conditionalFormatting>
  <conditionalFormatting sqref="P161">
    <cfRule type="cellIs" dxfId="631" priority="2093" operator="equal">
      <formula>AS_DURATION_EFFORT</formula>
    </cfRule>
    <cfRule type="cellIs" dxfId="630" priority="2094" operator="equal">
      <formula>AS_DEV_EFFORT</formula>
    </cfRule>
  </conditionalFormatting>
  <conditionalFormatting sqref="F161">
    <cfRule type="expression" dxfId="629" priority="2092">
      <formula>$K161&lt;&gt;""</formula>
    </cfRule>
  </conditionalFormatting>
  <conditionalFormatting sqref="C161">
    <cfRule type="expression" dxfId="628" priority="2091">
      <formula>$G161&lt;&gt;"-"</formula>
    </cfRule>
  </conditionalFormatting>
  <conditionalFormatting sqref="D161">
    <cfRule type="expression" dxfId="627" priority="2090">
      <formula>$H161&lt;&gt;"-"</formula>
    </cfRule>
  </conditionalFormatting>
  <conditionalFormatting sqref="E161">
    <cfRule type="expression" dxfId="626" priority="2089">
      <formula>$I161&lt;&gt;"-"</formula>
    </cfRule>
  </conditionalFormatting>
  <conditionalFormatting sqref="B160">
    <cfRule type="expression" dxfId="625" priority="2086">
      <formula>AD160&lt;&gt;""</formula>
    </cfRule>
  </conditionalFormatting>
  <conditionalFormatting sqref="Z160">
    <cfRule type="cellIs" dxfId="624" priority="2084" operator="greaterThan">
      <formula>0</formula>
    </cfRule>
    <cfRule type="cellIs" dxfId="623" priority="2085" operator="lessThan">
      <formula>0</formula>
    </cfRule>
  </conditionalFormatting>
  <conditionalFormatting sqref="S160">
    <cfRule type="cellIs" dxfId="622" priority="2083" operator="lessThan">
      <formula>0</formula>
    </cfRule>
  </conditionalFormatting>
  <conditionalFormatting sqref="P158">
    <cfRule type="cellIs" dxfId="621" priority="2073" operator="equal">
      <formula>AS_DURATION_EFFORT</formula>
    </cfRule>
    <cfRule type="cellIs" dxfId="620" priority="2074" operator="equal">
      <formula>AS_DEV_EFFORT</formula>
    </cfRule>
  </conditionalFormatting>
  <conditionalFormatting sqref="F160">
    <cfRule type="expression" dxfId="619" priority="2080">
      <formula>$K160&lt;&gt;""</formula>
    </cfRule>
  </conditionalFormatting>
  <conditionalFormatting sqref="C160">
    <cfRule type="expression" dxfId="618" priority="2079">
      <formula>$G160&lt;&gt;"-"</formula>
    </cfRule>
  </conditionalFormatting>
  <conditionalFormatting sqref="D160">
    <cfRule type="expression" dxfId="617" priority="2078">
      <formula>$H160&lt;&gt;"-"</formula>
    </cfRule>
  </conditionalFormatting>
  <conditionalFormatting sqref="E160">
    <cfRule type="expression" dxfId="616" priority="2077">
      <formula>$I160&lt;&gt;"-"</formula>
    </cfRule>
  </conditionalFormatting>
  <conditionalFormatting sqref="P168">
    <cfRule type="cellIs" dxfId="615" priority="2047" operator="equal">
      <formula>AS_DURATION_EFFORT</formula>
    </cfRule>
    <cfRule type="cellIs" dxfId="614" priority="2048" operator="equal">
      <formula>AS_DEV_EFFORT</formula>
    </cfRule>
  </conditionalFormatting>
  <conditionalFormatting sqref="P159:P160">
    <cfRule type="cellIs" dxfId="613" priority="2069" operator="equal">
      <formula>AS_DURATION_EFFORT</formula>
    </cfRule>
    <cfRule type="cellIs" dxfId="612" priority="2070" operator="equal">
      <formula>AS_DEV_EFFORT</formula>
    </cfRule>
  </conditionalFormatting>
  <conditionalFormatting sqref="B165">
    <cfRule type="expression" dxfId="611" priority="2065">
      <formula>AD165&lt;&gt;""</formula>
    </cfRule>
  </conditionalFormatting>
  <conditionalFormatting sqref="Z165">
    <cfRule type="cellIs" dxfId="610" priority="2063" operator="greaterThan">
      <formula>0</formula>
    </cfRule>
    <cfRule type="cellIs" dxfId="609" priority="2064" operator="lessThan">
      <formula>0</formula>
    </cfRule>
  </conditionalFormatting>
  <conditionalFormatting sqref="S165">
    <cfRule type="cellIs" dxfId="608" priority="2062" operator="lessThan">
      <formula>0</formula>
    </cfRule>
  </conditionalFormatting>
  <conditionalFormatting sqref="T163:T164">
    <cfRule type="expression" dxfId="607" priority="2066">
      <formula>#REF!="Yes"</formula>
    </cfRule>
  </conditionalFormatting>
  <conditionalFormatting sqref="B163:B164">
    <cfRule type="expression" dxfId="606" priority="2059">
      <formula>AD163&lt;&gt;""</formula>
    </cfRule>
  </conditionalFormatting>
  <conditionalFormatting sqref="F165">
    <cfRule type="expression" dxfId="605" priority="2058">
      <formula>$K165&lt;&gt;""</formula>
    </cfRule>
  </conditionalFormatting>
  <conditionalFormatting sqref="C165">
    <cfRule type="expression" dxfId="604" priority="2057">
      <formula>$G165&lt;&gt;"-"</formula>
    </cfRule>
  </conditionalFormatting>
  <conditionalFormatting sqref="D165">
    <cfRule type="expression" dxfId="603" priority="2056">
      <formula>$H165&lt;&gt;"-"</formula>
    </cfRule>
  </conditionalFormatting>
  <conditionalFormatting sqref="E165">
    <cfRule type="expression" dxfId="602" priority="2055">
      <formula>$I165&lt;&gt;"-"</formula>
    </cfRule>
  </conditionalFormatting>
  <conditionalFormatting sqref="B168">
    <cfRule type="expression" dxfId="601" priority="2052">
      <formula>AD168&lt;&gt;""</formula>
    </cfRule>
  </conditionalFormatting>
  <conditionalFormatting sqref="Z168">
    <cfRule type="cellIs" dxfId="600" priority="2050" operator="greaterThan">
      <formula>0</formula>
    </cfRule>
    <cfRule type="cellIs" dxfId="599" priority="2051" operator="lessThan">
      <formula>0</formula>
    </cfRule>
  </conditionalFormatting>
  <conditionalFormatting sqref="S168">
    <cfRule type="cellIs" dxfId="598" priority="2049" operator="lessThan">
      <formula>0</formula>
    </cfRule>
  </conditionalFormatting>
  <conditionalFormatting sqref="P167">
    <cfRule type="cellIs" dxfId="597" priority="2035" operator="equal">
      <formula>AS_DURATION_EFFORT</formula>
    </cfRule>
    <cfRule type="cellIs" dxfId="596" priority="2036" operator="equal">
      <formula>AS_DEV_EFFORT</formula>
    </cfRule>
  </conditionalFormatting>
  <conditionalFormatting sqref="F168">
    <cfRule type="expression" dxfId="595" priority="2046">
      <formula>$K168&lt;&gt;""</formula>
    </cfRule>
  </conditionalFormatting>
  <conditionalFormatting sqref="C168">
    <cfRule type="expression" dxfId="594" priority="2045">
      <formula>$G168&lt;&gt;"-"</formula>
    </cfRule>
  </conditionalFormatting>
  <conditionalFormatting sqref="D168">
    <cfRule type="expression" dxfId="593" priority="2044">
      <formula>$H168&lt;&gt;"-"</formula>
    </cfRule>
  </conditionalFormatting>
  <conditionalFormatting sqref="E168">
    <cfRule type="expression" dxfId="592" priority="2043">
      <formula>$I168&lt;&gt;"-"</formula>
    </cfRule>
  </conditionalFormatting>
  <conditionalFormatting sqref="B167">
    <cfRule type="expression" dxfId="591" priority="2040">
      <formula>AD167&lt;&gt;""</formula>
    </cfRule>
  </conditionalFormatting>
  <conditionalFormatting sqref="Z167">
    <cfRule type="cellIs" dxfId="590" priority="2038" operator="greaterThan">
      <formula>0</formula>
    </cfRule>
    <cfRule type="cellIs" dxfId="589" priority="2039" operator="lessThan">
      <formula>0</formula>
    </cfRule>
  </conditionalFormatting>
  <conditionalFormatting sqref="S167">
    <cfRule type="cellIs" dxfId="588" priority="2037" operator="lessThan">
      <formula>0</formula>
    </cfRule>
  </conditionalFormatting>
  <conditionalFormatting sqref="P166">
    <cfRule type="cellIs" dxfId="587" priority="2023" operator="equal">
      <formula>AS_DURATION_EFFORT</formula>
    </cfRule>
    <cfRule type="cellIs" dxfId="586" priority="2024" operator="equal">
      <formula>AS_DEV_EFFORT</formula>
    </cfRule>
  </conditionalFormatting>
  <conditionalFormatting sqref="F167">
    <cfRule type="expression" dxfId="585" priority="2034">
      <formula>$K167&lt;&gt;""</formula>
    </cfRule>
  </conditionalFormatting>
  <conditionalFormatting sqref="C167">
    <cfRule type="expression" dxfId="584" priority="2033">
      <formula>$G167&lt;&gt;"-"</formula>
    </cfRule>
  </conditionalFormatting>
  <conditionalFormatting sqref="D167">
    <cfRule type="expression" dxfId="583" priority="2032">
      <formula>$H167&lt;&gt;"-"</formula>
    </cfRule>
  </conditionalFormatting>
  <conditionalFormatting sqref="E167">
    <cfRule type="expression" dxfId="582" priority="2031">
      <formula>$I167&lt;&gt;"-"</formula>
    </cfRule>
  </conditionalFormatting>
  <conditionalFormatting sqref="B166">
    <cfRule type="expression" dxfId="581" priority="2028">
      <formula>AD166&lt;&gt;""</formula>
    </cfRule>
  </conditionalFormatting>
  <conditionalFormatting sqref="Z166">
    <cfRule type="cellIs" dxfId="580" priority="2026" operator="greaterThan">
      <formula>0</formula>
    </cfRule>
    <cfRule type="cellIs" dxfId="579" priority="2027" operator="lessThan">
      <formula>0</formula>
    </cfRule>
  </conditionalFormatting>
  <conditionalFormatting sqref="S166">
    <cfRule type="cellIs" dxfId="578" priority="2025" operator="lessThan">
      <formula>0</formula>
    </cfRule>
  </conditionalFormatting>
  <conditionalFormatting sqref="F166">
    <cfRule type="expression" dxfId="577" priority="2022">
      <formula>$K166&lt;&gt;""</formula>
    </cfRule>
  </conditionalFormatting>
  <conditionalFormatting sqref="C166">
    <cfRule type="expression" dxfId="576" priority="2021">
      <formula>$G166&lt;&gt;"-"</formula>
    </cfRule>
  </conditionalFormatting>
  <conditionalFormatting sqref="D166">
    <cfRule type="expression" dxfId="575" priority="2020">
      <formula>$H166&lt;&gt;"-"</formula>
    </cfRule>
  </conditionalFormatting>
  <conditionalFormatting sqref="E166">
    <cfRule type="expression" dxfId="574" priority="2019">
      <formula>$I166&lt;&gt;"-"</formula>
    </cfRule>
  </conditionalFormatting>
  <conditionalFormatting sqref="B177">
    <cfRule type="expression" dxfId="573" priority="1987">
      <formula>AD177&lt;&gt;""</formula>
    </cfRule>
  </conditionalFormatting>
  <conditionalFormatting sqref="Z177">
    <cfRule type="cellIs" dxfId="572" priority="1985" operator="greaterThan">
      <formula>0</formula>
    </cfRule>
    <cfRule type="cellIs" dxfId="571" priority="1986" operator="lessThan">
      <formula>0</formula>
    </cfRule>
  </conditionalFormatting>
  <conditionalFormatting sqref="S177">
    <cfRule type="cellIs" dxfId="570" priority="1984" operator="lessThan">
      <formula>0</formula>
    </cfRule>
  </conditionalFormatting>
  <conditionalFormatting sqref="T175:T176">
    <cfRule type="expression" dxfId="569" priority="1988">
      <formula>#REF!="Yes"</formula>
    </cfRule>
  </conditionalFormatting>
  <conditionalFormatting sqref="P177">
    <cfRule type="cellIs" dxfId="568" priority="1982" operator="equal">
      <formula>AS_DURATION_EFFORT</formula>
    </cfRule>
    <cfRule type="cellIs" dxfId="567" priority="1983" operator="equal">
      <formula>AS_DEV_EFFORT</formula>
    </cfRule>
  </conditionalFormatting>
  <conditionalFormatting sqref="B175:B176">
    <cfRule type="expression" dxfId="566" priority="1981">
      <formula>AD175&lt;&gt;""</formula>
    </cfRule>
  </conditionalFormatting>
  <conditionalFormatting sqref="F177">
    <cfRule type="expression" dxfId="565" priority="1980">
      <formula>$K177&lt;&gt;""</formula>
    </cfRule>
  </conditionalFormatting>
  <conditionalFormatting sqref="C177">
    <cfRule type="expression" dxfId="564" priority="1979">
      <formula>$G177&lt;&gt;"-"</formula>
    </cfRule>
  </conditionalFormatting>
  <conditionalFormatting sqref="D177">
    <cfRule type="expression" dxfId="563" priority="1978">
      <formula>$H177&lt;&gt;"-"</formula>
    </cfRule>
  </conditionalFormatting>
  <conditionalFormatting sqref="E177">
    <cfRule type="expression" dxfId="562" priority="1977">
      <formula>$I177&lt;&gt;"-"</formula>
    </cfRule>
  </conditionalFormatting>
  <conditionalFormatting sqref="B178">
    <cfRule type="expression" dxfId="561" priority="1974">
      <formula>AD178&lt;&gt;""</formula>
    </cfRule>
  </conditionalFormatting>
  <conditionalFormatting sqref="Z178">
    <cfRule type="cellIs" dxfId="560" priority="1972" operator="greaterThan">
      <formula>0</formula>
    </cfRule>
    <cfRule type="cellIs" dxfId="559" priority="1973" operator="lessThan">
      <formula>0</formula>
    </cfRule>
  </conditionalFormatting>
  <conditionalFormatting sqref="S178">
    <cfRule type="cellIs" dxfId="558" priority="1971" operator="lessThan">
      <formula>0</formula>
    </cfRule>
  </conditionalFormatting>
  <conditionalFormatting sqref="P178">
    <cfRule type="cellIs" dxfId="557" priority="1969" operator="equal">
      <formula>AS_DURATION_EFFORT</formula>
    </cfRule>
    <cfRule type="cellIs" dxfId="556" priority="1970" operator="equal">
      <formula>AS_DEV_EFFORT</formula>
    </cfRule>
  </conditionalFormatting>
  <conditionalFormatting sqref="F178">
    <cfRule type="expression" dxfId="555" priority="1968">
      <formula>$K178&lt;&gt;""</formula>
    </cfRule>
  </conditionalFormatting>
  <conditionalFormatting sqref="C178">
    <cfRule type="expression" dxfId="554" priority="1967">
      <formula>$G178&lt;&gt;"-"</formula>
    </cfRule>
  </conditionalFormatting>
  <conditionalFormatting sqref="D178">
    <cfRule type="expression" dxfId="553" priority="1966">
      <formula>$H178&lt;&gt;"-"</formula>
    </cfRule>
  </conditionalFormatting>
  <conditionalFormatting sqref="E178">
    <cfRule type="expression" dxfId="552" priority="1965">
      <formula>$I178&lt;&gt;"-"</formula>
    </cfRule>
  </conditionalFormatting>
  <conditionalFormatting sqref="B182">
    <cfRule type="expression" dxfId="551" priority="1961">
      <formula>AD182&lt;&gt;""</formula>
    </cfRule>
  </conditionalFormatting>
  <conditionalFormatting sqref="Z182">
    <cfRule type="cellIs" dxfId="550" priority="1959" operator="greaterThan">
      <formula>0</formula>
    </cfRule>
    <cfRule type="cellIs" dxfId="549" priority="1960" operator="lessThan">
      <formula>0</formula>
    </cfRule>
  </conditionalFormatting>
  <conditionalFormatting sqref="S182">
    <cfRule type="cellIs" dxfId="548" priority="1958" operator="lessThan">
      <formula>0</formula>
    </cfRule>
  </conditionalFormatting>
  <conditionalFormatting sqref="T180:T181">
    <cfRule type="expression" dxfId="547" priority="1962">
      <formula>#REF!="Yes"</formula>
    </cfRule>
  </conditionalFormatting>
  <conditionalFormatting sqref="P182">
    <cfRule type="cellIs" dxfId="546" priority="1956" operator="equal">
      <formula>AS_DURATION_EFFORT</formula>
    </cfRule>
    <cfRule type="cellIs" dxfId="545" priority="1957" operator="equal">
      <formula>AS_DEV_EFFORT</formula>
    </cfRule>
  </conditionalFormatting>
  <conditionalFormatting sqref="B180:B181">
    <cfRule type="expression" dxfId="544" priority="1955">
      <formula>AD180&lt;&gt;""</formula>
    </cfRule>
  </conditionalFormatting>
  <conditionalFormatting sqref="F182">
    <cfRule type="expression" dxfId="543" priority="1954">
      <formula>$K182&lt;&gt;""</formula>
    </cfRule>
  </conditionalFormatting>
  <conditionalFormatting sqref="C182">
    <cfRule type="expression" dxfId="542" priority="1953">
      <formula>$G182&lt;&gt;"-"</formula>
    </cfRule>
  </conditionalFormatting>
  <conditionalFormatting sqref="D182">
    <cfRule type="expression" dxfId="541" priority="1952">
      <formula>$H182&lt;&gt;"-"</formula>
    </cfRule>
  </conditionalFormatting>
  <conditionalFormatting sqref="E182">
    <cfRule type="expression" dxfId="540" priority="1951">
      <formula>$I182&lt;&gt;"-"</formula>
    </cfRule>
  </conditionalFormatting>
  <conditionalFormatting sqref="B186">
    <cfRule type="expression" dxfId="539" priority="1923">
      <formula>AD186&lt;&gt;""</formula>
    </cfRule>
  </conditionalFormatting>
  <conditionalFormatting sqref="Z186">
    <cfRule type="cellIs" dxfId="538" priority="1921" operator="greaterThan">
      <formula>0</formula>
    </cfRule>
    <cfRule type="cellIs" dxfId="537" priority="1922" operator="lessThan">
      <formula>0</formula>
    </cfRule>
  </conditionalFormatting>
  <conditionalFormatting sqref="S186">
    <cfRule type="cellIs" dxfId="536" priority="1920" operator="lessThan">
      <formula>0</formula>
    </cfRule>
  </conditionalFormatting>
  <conditionalFormatting sqref="T184:T185">
    <cfRule type="expression" dxfId="535" priority="1924">
      <formula>#REF!="Yes"</formula>
    </cfRule>
  </conditionalFormatting>
  <conditionalFormatting sqref="P186">
    <cfRule type="cellIs" dxfId="534" priority="1918" operator="equal">
      <formula>AS_DURATION_EFFORT</formula>
    </cfRule>
    <cfRule type="cellIs" dxfId="533" priority="1919" operator="equal">
      <formula>AS_DEV_EFFORT</formula>
    </cfRule>
  </conditionalFormatting>
  <conditionalFormatting sqref="B184:B185">
    <cfRule type="expression" dxfId="532" priority="1917">
      <formula>AD184&lt;&gt;""</formula>
    </cfRule>
  </conditionalFormatting>
  <conditionalFormatting sqref="F186">
    <cfRule type="expression" dxfId="531" priority="1916">
      <formula>$K186&lt;&gt;""</formula>
    </cfRule>
  </conditionalFormatting>
  <conditionalFormatting sqref="C186">
    <cfRule type="expression" dxfId="530" priority="1915">
      <formula>$G186&lt;&gt;"-"</formula>
    </cfRule>
  </conditionalFormatting>
  <conditionalFormatting sqref="D186">
    <cfRule type="expression" dxfId="529" priority="1914">
      <formula>$H186&lt;&gt;"-"</formula>
    </cfRule>
  </conditionalFormatting>
  <conditionalFormatting sqref="E186">
    <cfRule type="expression" dxfId="528" priority="1913">
      <formula>$I186&lt;&gt;"-"</formula>
    </cfRule>
  </conditionalFormatting>
  <conditionalFormatting sqref="B190">
    <cfRule type="expression" dxfId="527" priority="1897">
      <formula>AD190&lt;&gt;""</formula>
    </cfRule>
  </conditionalFormatting>
  <conditionalFormatting sqref="Z190">
    <cfRule type="cellIs" dxfId="526" priority="1895" operator="greaterThan">
      <formula>0</formula>
    </cfRule>
    <cfRule type="cellIs" dxfId="525" priority="1896" operator="lessThan">
      <formula>0</formula>
    </cfRule>
  </conditionalFormatting>
  <conditionalFormatting sqref="S190">
    <cfRule type="cellIs" dxfId="524" priority="1894" operator="lessThan">
      <formula>0</formula>
    </cfRule>
  </conditionalFormatting>
  <conditionalFormatting sqref="T188:T189">
    <cfRule type="expression" dxfId="523" priority="1898">
      <formula>#REF!="Yes"</formula>
    </cfRule>
  </conditionalFormatting>
  <conditionalFormatting sqref="P190">
    <cfRule type="cellIs" dxfId="522" priority="1892" operator="equal">
      <formula>AS_DURATION_EFFORT</formula>
    </cfRule>
    <cfRule type="cellIs" dxfId="521" priority="1893" operator="equal">
      <formula>AS_DEV_EFFORT</formula>
    </cfRule>
  </conditionalFormatting>
  <conditionalFormatting sqref="B188:B189">
    <cfRule type="expression" dxfId="520" priority="1891">
      <formula>AD188&lt;&gt;""</formula>
    </cfRule>
  </conditionalFormatting>
  <conditionalFormatting sqref="F190">
    <cfRule type="expression" dxfId="519" priority="1890">
      <formula>$K190&lt;&gt;""</formula>
    </cfRule>
  </conditionalFormatting>
  <conditionalFormatting sqref="C190">
    <cfRule type="expression" dxfId="518" priority="1889">
      <formula>$G190&lt;&gt;"-"</formula>
    </cfRule>
  </conditionalFormatting>
  <conditionalFormatting sqref="D190">
    <cfRule type="expression" dxfId="517" priority="1888">
      <formula>$H190&lt;&gt;"-"</formula>
    </cfRule>
  </conditionalFormatting>
  <conditionalFormatting sqref="E190">
    <cfRule type="expression" dxfId="516" priority="1887">
      <formula>$I190&lt;&gt;"-"</formula>
    </cfRule>
  </conditionalFormatting>
  <conditionalFormatting sqref="B193">
    <cfRule type="expression" dxfId="515" priority="1884">
      <formula>AD193&lt;&gt;""</formula>
    </cfRule>
  </conditionalFormatting>
  <conditionalFormatting sqref="Z193">
    <cfRule type="cellIs" dxfId="514" priority="1882" operator="greaterThan">
      <formula>0</formula>
    </cfRule>
    <cfRule type="cellIs" dxfId="513" priority="1883" operator="lessThan">
      <formula>0</formula>
    </cfRule>
  </conditionalFormatting>
  <conditionalFormatting sqref="S193">
    <cfRule type="cellIs" dxfId="512" priority="1881" operator="lessThan">
      <formula>0</formula>
    </cfRule>
  </conditionalFormatting>
  <conditionalFormatting sqref="P193">
    <cfRule type="cellIs" dxfId="511" priority="1879" operator="equal">
      <formula>AS_DURATION_EFFORT</formula>
    </cfRule>
    <cfRule type="cellIs" dxfId="510" priority="1880" operator="equal">
      <formula>AS_DEV_EFFORT</formula>
    </cfRule>
  </conditionalFormatting>
  <conditionalFormatting sqref="F193">
    <cfRule type="expression" dxfId="509" priority="1878">
      <formula>$K193&lt;&gt;""</formula>
    </cfRule>
  </conditionalFormatting>
  <conditionalFormatting sqref="C193">
    <cfRule type="expression" dxfId="508" priority="1877">
      <formula>$G193&lt;&gt;"-"</formula>
    </cfRule>
  </conditionalFormatting>
  <conditionalFormatting sqref="D193">
    <cfRule type="expression" dxfId="507" priority="1876">
      <formula>$H193&lt;&gt;"-"</formula>
    </cfRule>
  </conditionalFormatting>
  <conditionalFormatting sqref="E193">
    <cfRule type="expression" dxfId="506" priority="1875">
      <formula>$I193&lt;&gt;"-"</formula>
    </cfRule>
  </conditionalFormatting>
  <conditionalFormatting sqref="B192">
    <cfRule type="expression" dxfId="505" priority="1872">
      <formula>AD192&lt;&gt;""</formula>
    </cfRule>
  </conditionalFormatting>
  <conditionalFormatting sqref="Z192">
    <cfRule type="cellIs" dxfId="504" priority="1870" operator="greaterThan">
      <formula>0</formula>
    </cfRule>
    <cfRule type="cellIs" dxfId="503" priority="1871" operator="lessThan">
      <formula>0</formula>
    </cfRule>
  </conditionalFormatting>
  <conditionalFormatting sqref="S192">
    <cfRule type="cellIs" dxfId="502" priority="1869" operator="lessThan">
      <formula>0</formula>
    </cfRule>
  </conditionalFormatting>
  <conditionalFormatting sqref="P192">
    <cfRule type="cellIs" dxfId="501" priority="1867" operator="equal">
      <formula>AS_DURATION_EFFORT</formula>
    </cfRule>
    <cfRule type="cellIs" dxfId="500" priority="1868" operator="equal">
      <formula>AS_DEV_EFFORT</formula>
    </cfRule>
  </conditionalFormatting>
  <conditionalFormatting sqref="F192">
    <cfRule type="expression" dxfId="499" priority="1866">
      <formula>$K192&lt;&gt;""</formula>
    </cfRule>
  </conditionalFormatting>
  <conditionalFormatting sqref="C192">
    <cfRule type="expression" dxfId="498" priority="1865">
      <formula>$G192&lt;&gt;"-"</formula>
    </cfRule>
  </conditionalFormatting>
  <conditionalFormatting sqref="D192">
    <cfRule type="expression" dxfId="497" priority="1864">
      <formula>$H192&lt;&gt;"-"</formula>
    </cfRule>
  </conditionalFormatting>
  <conditionalFormatting sqref="E192">
    <cfRule type="expression" dxfId="496" priority="1863">
      <formula>$I192&lt;&gt;"-"</formula>
    </cfRule>
  </conditionalFormatting>
  <conditionalFormatting sqref="B191">
    <cfRule type="expression" dxfId="495" priority="1860">
      <formula>AD191&lt;&gt;""</formula>
    </cfRule>
  </conditionalFormatting>
  <conditionalFormatting sqref="Z191">
    <cfRule type="cellIs" dxfId="494" priority="1858" operator="greaterThan">
      <formula>0</formula>
    </cfRule>
    <cfRule type="cellIs" dxfId="493" priority="1859" operator="lessThan">
      <formula>0</formula>
    </cfRule>
  </conditionalFormatting>
  <conditionalFormatting sqref="S191">
    <cfRule type="cellIs" dxfId="492" priority="1857" operator="lessThan">
      <formula>0</formula>
    </cfRule>
  </conditionalFormatting>
  <conditionalFormatting sqref="P191">
    <cfRule type="cellIs" dxfId="491" priority="1855" operator="equal">
      <formula>AS_DURATION_EFFORT</formula>
    </cfRule>
    <cfRule type="cellIs" dxfId="490" priority="1856" operator="equal">
      <formula>AS_DEV_EFFORT</formula>
    </cfRule>
  </conditionalFormatting>
  <conditionalFormatting sqref="F191">
    <cfRule type="expression" dxfId="489" priority="1854">
      <formula>$K191&lt;&gt;""</formula>
    </cfRule>
  </conditionalFormatting>
  <conditionalFormatting sqref="C191">
    <cfRule type="expression" dxfId="488" priority="1853">
      <formula>$G191&lt;&gt;"-"</formula>
    </cfRule>
  </conditionalFormatting>
  <conditionalFormatting sqref="D191">
    <cfRule type="expression" dxfId="487" priority="1852">
      <formula>$H191&lt;&gt;"-"</formula>
    </cfRule>
  </conditionalFormatting>
  <conditionalFormatting sqref="E191">
    <cfRule type="expression" dxfId="486" priority="1851">
      <formula>$I191&lt;&gt;"-"</formula>
    </cfRule>
  </conditionalFormatting>
  <conditionalFormatting sqref="B200">
    <cfRule type="expression" dxfId="485" priority="1841">
      <formula>AD200&lt;&gt;""</formula>
    </cfRule>
  </conditionalFormatting>
  <conditionalFormatting sqref="Z200">
    <cfRule type="cellIs" dxfId="484" priority="1839" operator="greaterThan">
      <formula>0</formula>
    </cfRule>
    <cfRule type="cellIs" dxfId="483" priority="1840" operator="lessThan">
      <formula>0</formula>
    </cfRule>
  </conditionalFormatting>
  <conditionalFormatting sqref="S200">
    <cfRule type="cellIs" dxfId="482" priority="1838" operator="lessThan">
      <formula>0</formula>
    </cfRule>
  </conditionalFormatting>
  <conditionalFormatting sqref="T198:T199">
    <cfRule type="expression" dxfId="481" priority="1842">
      <formula>#REF!="Yes"</formula>
    </cfRule>
  </conditionalFormatting>
  <conditionalFormatting sqref="P200">
    <cfRule type="cellIs" dxfId="480" priority="1836" operator="equal">
      <formula>AS_DURATION_EFFORT</formula>
    </cfRule>
    <cfRule type="cellIs" dxfId="479" priority="1837" operator="equal">
      <formula>AS_DEV_EFFORT</formula>
    </cfRule>
  </conditionalFormatting>
  <conditionalFormatting sqref="B198:B199">
    <cfRule type="expression" dxfId="478" priority="1835">
      <formula>AD198&lt;&gt;""</formula>
    </cfRule>
  </conditionalFormatting>
  <conditionalFormatting sqref="F200">
    <cfRule type="expression" dxfId="477" priority="1834">
      <formula>$K200&lt;&gt;""</formula>
    </cfRule>
  </conditionalFormatting>
  <conditionalFormatting sqref="C200">
    <cfRule type="expression" dxfId="476" priority="1833">
      <formula>$G200&lt;&gt;"-"</formula>
    </cfRule>
  </conditionalFormatting>
  <conditionalFormatting sqref="D200">
    <cfRule type="expression" dxfId="475" priority="1832">
      <formula>$H200&lt;&gt;"-"</formula>
    </cfRule>
  </conditionalFormatting>
  <conditionalFormatting sqref="E200">
    <cfRule type="expression" dxfId="474" priority="1831">
      <formula>$I200&lt;&gt;"-"</formula>
    </cfRule>
  </conditionalFormatting>
  <conditionalFormatting sqref="B18">
    <cfRule type="expression" dxfId="473" priority="888">
      <formula>AD18&lt;&gt;""</formula>
    </cfRule>
  </conditionalFormatting>
  <conditionalFormatting sqref="Z18">
    <cfRule type="cellIs" dxfId="472" priority="886" operator="greaterThan">
      <formula>0</formula>
    </cfRule>
    <cfRule type="cellIs" dxfId="471" priority="887" operator="lessThan">
      <formula>0</formula>
    </cfRule>
  </conditionalFormatting>
  <conditionalFormatting sqref="S18">
    <cfRule type="cellIs" dxfId="470" priority="885" operator="lessThan">
      <formula>0</formula>
    </cfRule>
  </conditionalFormatting>
  <conditionalFormatting sqref="L18:M18 O18 R18:AC18">
    <cfRule type="expression" dxfId="469" priority="889">
      <formula>AND($G18="Yes", $S$6="Exclude")</formula>
    </cfRule>
    <cfRule type="expression" dxfId="468" priority="890">
      <formula>$J18="Yes"</formula>
    </cfRule>
  </conditionalFormatting>
  <conditionalFormatting sqref="F18">
    <cfRule type="expression" dxfId="467" priority="882">
      <formula>$K18&lt;&gt;""</formula>
    </cfRule>
  </conditionalFormatting>
  <conditionalFormatting sqref="C18">
    <cfRule type="expression" dxfId="466" priority="881">
      <formula>$G18&lt;&gt;"-"</formula>
    </cfRule>
  </conditionalFormatting>
  <conditionalFormatting sqref="D18">
    <cfRule type="expression" dxfId="465" priority="880">
      <formula>$H18&lt;&gt;"-"</formula>
    </cfRule>
  </conditionalFormatting>
  <conditionalFormatting sqref="E18">
    <cfRule type="expression" dxfId="464" priority="879">
      <formula>$I18&lt;&gt;"-"</formula>
    </cfRule>
  </conditionalFormatting>
  <conditionalFormatting sqref="B28">
    <cfRule type="expression" dxfId="463" priority="875">
      <formula>AD28&lt;&gt;""</formula>
    </cfRule>
  </conditionalFormatting>
  <conditionalFormatting sqref="Z28">
    <cfRule type="cellIs" dxfId="462" priority="873" operator="greaterThan">
      <formula>0</formula>
    </cfRule>
    <cfRule type="cellIs" dxfId="461" priority="874" operator="lessThan">
      <formula>0</formula>
    </cfRule>
  </conditionalFormatting>
  <conditionalFormatting sqref="S28">
    <cfRule type="cellIs" dxfId="460" priority="872" operator="lessThan">
      <formula>0</formula>
    </cfRule>
  </conditionalFormatting>
  <conditionalFormatting sqref="T26:T27">
    <cfRule type="expression" dxfId="459" priority="876">
      <formula>#REF!="Yes"</formula>
    </cfRule>
  </conditionalFormatting>
  <conditionalFormatting sqref="P28">
    <cfRule type="cellIs" dxfId="458" priority="870" operator="equal">
      <formula>AS_DURATION_EFFORT</formula>
    </cfRule>
    <cfRule type="cellIs" dxfId="457" priority="871" operator="equal">
      <formula>AS_DEV_EFFORT</formula>
    </cfRule>
  </conditionalFormatting>
  <conditionalFormatting sqref="B26:B27">
    <cfRule type="expression" dxfId="456" priority="869">
      <formula>AD26&lt;&gt;""</formula>
    </cfRule>
  </conditionalFormatting>
  <conditionalFormatting sqref="F28">
    <cfRule type="expression" dxfId="455" priority="868">
      <formula>$K28&lt;&gt;""</formula>
    </cfRule>
  </conditionalFormatting>
  <conditionalFormatting sqref="C28">
    <cfRule type="expression" dxfId="454" priority="867">
      <formula>$G28&lt;&gt;"-"</formula>
    </cfRule>
  </conditionalFormatting>
  <conditionalFormatting sqref="D28">
    <cfRule type="expression" dxfId="453" priority="866">
      <formula>$H28&lt;&gt;"-"</formula>
    </cfRule>
  </conditionalFormatting>
  <conditionalFormatting sqref="E28">
    <cfRule type="expression" dxfId="452" priority="865">
      <formula>$I28&lt;&gt;"-"</formula>
    </cfRule>
  </conditionalFormatting>
  <conditionalFormatting sqref="B35">
    <cfRule type="expression" dxfId="451" priority="861">
      <formula>AD35&lt;&gt;""</formula>
    </cfRule>
  </conditionalFormatting>
  <conditionalFormatting sqref="Z35">
    <cfRule type="cellIs" dxfId="450" priority="859" operator="greaterThan">
      <formula>0</formula>
    </cfRule>
    <cfRule type="cellIs" dxfId="449" priority="860" operator="lessThan">
      <formula>0</formula>
    </cfRule>
  </conditionalFormatting>
  <conditionalFormatting sqref="S35">
    <cfRule type="cellIs" dxfId="448" priority="858" operator="lessThan">
      <formula>0</formula>
    </cfRule>
  </conditionalFormatting>
  <conditionalFormatting sqref="T33:T34">
    <cfRule type="expression" dxfId="447" priority="862">
      <formula>#REF!="Yes"</formula>
    </cfRule>
  </conditionalFormatting>
  <conditionalFormatting sqref="P35">
    <cfRule type="cellIs" dxfId="446" priority="856" operator="equal">
      <formula>AS_DURATION_EFFORT</formula>
    </cfRule>
    <cfRule type="cellIs" dxfId="445" priority="857" operator="equal">
      <formula>AS_DEV_EFFORT</formula>
    </cfRule>
  </conditionalFormatting>
  <conditionalFormatting sqref="B33:B34">
    <cfRule type="expression" dxfId="444" priority="855">
      <formula>AD33&lt;&gt;""</formula>
    </cfRule>
  </conditionalFormatting>
  <conditionalFormatting sqref="F35">
    <cfRule type="expression" dxfId="443" priority="854">
      <formula>$K35&lt;&gt;""</formula>
    </cfRule>
  </conditionalFormatting>
  <conditionalFormatting sqref="C35">
    <cfRule type="expression" dxfId="442" priority="853">
      <formula>$G35&lt;&gt;"-"</formula>
    </cfRule>
  </conditionalFormatting>
  <conditionalFormatting sqref="D35">
    <cfRule type="expression" dxfId="441" priority="852">
      <formula>$H35&lt;&gt;"-"</formula>
    </cfRule>
  </conditionalFormatting>
  <conditionalFormatting sqref="E35">
    <cfRule type="expression" dxfId="440" priority="851">
      <formula>$I35&lt;&gt;"-"</formula>
    </cfRule>
  </conditionalFormatting>
  <conditionalFormatting sqref="B43">
    <cfRule type="expression" dxfId="439" priority="847">
      <formula>AD43&lt;&gt;""</formula>
    </cfRule>
  </conditionalFormatting>
  <conditionalFormatting sqref="Z43">
    <cfRule type="cellIs" dxfId="438" priority="845" operator="greaterThan">
      <formula>0</formula>
    </cfRule>
    <cfRule type="cellIs" dxfId="437" priority="846" operator="lessThan">
      <formula>0</formula>
    </cfRule>
  </conditionalFormatting>
  <conditionalFormatting sqref="S43">
    <cfRule type="cellIs" dxfId="436" priority="844" operator="lessThan">
      <formula>0</formula>
    </cfRule>
  </conditionalFormatting>
  <conditionalFormatting sqref="T41:T42">
    <cfRule type="expression" dxfId="435" priority="848">
      <formula>#REF!="Yes"</formula>
    </cfRule>
  </conditionalFormatting>
  <conditionalFormatting sqref="P43">
    <cfRule type="cellIs" dxfId="434" priority="842" operator="equal">
      <formula>AS_DURATION_EFFORT</formula>
    </cfRule>
    <cfRule type="cellIs" dxfId="433" priority="843" operator="equal">
      <formula>AS_DEV_EFFORT</formula>
    </cfRule>
    <cfRule type="cellIs" dxfId="432" priority="651" operator="equal">
      <formula>AS_DURATION_EFFORT</formula>
    </cfRule>
    <cfRule type="cellIs" dxfId="431" priority="652" operator="equal">
      <formula>AS_DEV_EFFORT</formula>
    </cfRule>
  </conditionalFormatting>
  <conditionalFormatting sqref="B41:B42">
    <cfRule type="expression" dxfId="430" priority="841">
      <formula>AD41&lt;&gt;""</formula>
    </cfRule>
  </conditionalFormatting>
  <conditionalFormatting sqref="F43">
    <cfRule type="expression" dxfId="429" priority="840">
      <formula>$K43&lt;&gt;""</formula>
    </cfRule>
  </conditionalFormatting>
  <conditionalFormatting sqref="C43">
    <cfRule type="expression" dxfId="428" priority="839">
      <formula>$G43&lt;&gt;"-"</formula>
    </cfRule>
  </conditionalFormatting>
  <conditionalFormatting sqref="D43">
    <cfRule type="expression" dxfId="427" priority="838">
      <formula>$H43&lt;&gt;"-"</formula>
    </cfRule>
  </conditionalFormatting>
  <conditionalFormatting sqref="E43">
    <cfRule type="expression" dxfId="426" priority="837">
      <formula>$I43&lt;&gt;"-"</formula>
    </cfRule>
  </conditionalFormatting>
  <conditionalFormatting sqref="B49">
    <cfRule type="expression" dxfId="425" priority="833">
      <formula>AD49&lt;&gt;""</formula>
    </cfRule>
  </conditionalFormatting>
  <conditionalFormatting sqref="Z49">
    <cfRule type="cellIs" dxfId="424" priority="831" operator="greaterThan">
      <formula>0</formula>
    </cfRule>
    <cfRule type="cellIs" dxfId="423" priority="832" operator="lessThan">
      <formula>0</formula>
    </cfRule>
  </conditionalFormatting>
  <conditionalFormatting sqref="S49">
    <cfRule type="cellIs" dxfId="422" priority="830" operator="lessThan">
      <formula>0</formula>
    </cfRule>
  </conditionalFormatting>
  <conditionalFormatting sqref="T47:T48">
    <cfRule type="expression" dxfId="421" priority="834">
      <formula>#REF!="Yes"</formula>
    </cfRule>
  </conditionalFormatting>
  <conditionalFormatting sqref="P49">
    <cfRule type="cellIs" dxfId="420" priority="828" operator="equal">
      <formula>AS_DURATION_EFFORT</formula>
    </cfRule>
    <cfRule type="cellIs" dxfId="419" priority="829" operator="equal">
      <formula>AS_DEV_EFFORT</formula>
    </cfRule>
  </conditionalFormatting>
  <conditionalFormatting sqref="B47:B48">
    <cfRule type="expression" dxfId="418" priority="827">
      <formula>AD47&lt;&gt;""</formula>
    </cfRule>
  </conditionalFormatting>
  <conditionalFormatting sqref="F49">
    <cfRule type="expression" dxfId="417" priority="826">
      <formula>$K49&lt;&gt;""</formula>
    </cfRule>
  </conditionalFormatting>
  <conditionalFormatting sqref="C49">
    <cfRule type="expression" dxfId="416" priority="825">
      <formula>$G49&lt;&gt;"-"</formula>
    </cfRule>
  </conditionalFormatting>
  <conditionalFormatting sqref="D49">
    <cfRule type="expression" dxfId="415" priority="824">
      <formula>$H49&lt;&gt;"-"</formula>
    </cfRule>
  </conditionalFormatting>
  <conditionalFormatting sqref="E49">
    <cfRule type="expression" dxfId="414" priority="823">
      <formula>$I49&lt;&gt;"-"</formula>
    </cfRule>
  </conditionalFormatting>
  <conditionalFormatting sqref="B58">
    <cfRule type="expression" dxfId="413" priority="819">
      <formula>AD58&lt;&gt;""</formula>
    </cfRule>
  </conditionalFormatting>
  <conditionalFormatting sqref="Z58">
    <cfRule type="cellIs" dxfId="412" priority="817" operator="greaterThan">
      <formula>0</formula>
    </cfRule>
    <cfRule type="cellIs" dxfId="411" priority="818" operator="lessThan">
      <formula>0</formula>
    </cfRule>
  </conditionalFormatting>
  <conditionalFormatting sqref="S58">
    <cfRule type="cellIs" dxfId="410" priority="816" operator="lessThan">
      <formula>0</formula>
    </cfRule>
  </conditionalFormatting>
  <conditionalFormatting sqref="T56:T57">
    <cfRule type="expression" dxfId="409" priority="820">
      <formula>#REF!="Yes"</formula>
    </cfRule>
  </conditionalFormatting>
  <conditionalFormatting sqref="P58">
    <cfRule type="cellIs" dxfId="408" priority="814" operator="equal">
      <formula>AS_DURATION_EFFORT</formula>
    </cfRule>
    <cfRule type="cellIs" dxfId="407" priority="815" operator="equal">
      <formula>AS_DEV_EFFORT</formula>
    </cfRule>
  </conditionalFormatting>
  <conditionalFormatting sqref="B56:B57">
    <cfRule type="expression" dxfId="406" priority="813">
      <formula>AD56&lt;&gt;""</formula>
    </cfRule>
  </conditionalFormatting>
  <conditionalFormatting sqref="F58">
    <cfRule type="expression" dxfId="405" priority="812">
      <formula>$K58&lt;&gt;""</formula>
    </cfRule>
  </conditionalFormatting>
  <conditionalFormatting sqref="C58">
    <cfRule type="expression" dxfId="404" priority="811">
      <formula>$G58&lt;&gt;"-"</formula>
    </cfRule>
  </conditionalFormatting>
  <conditionalFormatting sqref="D58">
    <cfRule type="expression" dxfId="403" priority="810">
      <formula>$H58&lt;&gt;"-"</formula>
    </cfRule>
  </conditionalFormatting>
  <conditionalFormatting sqref="E58">
    <cfRule type="expression" dxfId="402" priority="809">
      <formula>$I58&lt;&gt;"-"</formula>
    </cfRule>
  </conditionalFormatting>
  <conditionalFormatting sqref="N18">
    <cfRule type="expression" dxfId="401" priority="807">
      <formula>AND($G18="Yes", $S$6="Exclude")</formula>
    </cfRule>
    <cfRule type="expression" dxfId="400" priority="808">
      <formula>$J18="Yes"</formula>
    </cfRule>
  </conditionalFormatting>
  <conditionalFormatting sqref="P18">
    <cfRule type="cellIs" dxfId="399" priority="803" operator="equal">
      <formula>AS_DURATION_EFFORT</formula>
    </cfRule>
    <cfRule type="cellIs" dxfId="398" priority="804" operator="equal">
      <formula>AS_DEV_EFFORT</formula>
    </cfRule>
  </conditionalFormatting>
  <conditionalFormatting sqref="P18:Q18">
    <cfRule type="expression" dxfId="397" priority="805">
      <formula>AND($G18="Yes", $S$6="Exclude")</formula>
    </cfRule>
    <cfRule type="expression" dxfId="396" priority="806">
      <formula>$J18="Yes"</formula>
    </cfRule>
  </conditionalFormatting>
  <conditionalFormatting sqref="B22">
    <cfRule type="expression" dxfId="395" priority="800">
      <formula>AD22&lt;&gt;""</formula>
    </cfRule>
  </conditionalFormatting>
  <conditionalFormatting sqref="Z22">
    <cfRule type="cellIs" dxfId="394" priority="798" operator="greaterThan">
      <formula>0</formula>
    </cfRule>
    <cfRule type="cellIs" dxfId="393" priority="799" operator="lessThan">
      <formula>0</formula>
    </cfRule>
  </conditionalFormatting>
  <conditionalFormatting sqref="S22">
    <cfRule type="cellIs" dxfId="392" priority="797" operator="lessThan">
      <formula>0</formula>
    </cfRule>
  </conditionalFormatting>
  <conditionalFormatting sqref="P22">
    <cfRule type="cellIs" dxfId="391" priority="795" operator="equal">
      <formula>AS_DURATION_EFFORT</formula>
    </cfRule>
    <cfRule type="cellIs" dxfId="390" priority="796" operator="equal">
      <formula>AS_DEV_EFFORT</formula>
    </cfRule>
  </conditionalFormatting>
  <conditionalFormatting sqref="L22:M22 O22:AC22">
    <cfRule type="expression" dxfId="389" priority="801">
      <formula>AND($G22="Yes", $S$6="Exclude")</formula>
    </cfRule>
    <cfRule type="expression" dxfId="388" priority="802">
      <formula>$J22="Yes"</formula>
    </cfRule>
  </conditionalFormatting>
  <conditionalFormatting sqref="F22">
    <cfRule type="expression" dxfId="387" priority="794">
      <formula>$K22&lt;&gt;""</formula>
    </cfRule>
  </conditionalFormatting>
  <conditionalFormatting sqref="C22">
    <cfRule type="expression" dxfId="386" priority="793">
      <formula>$G22&lt;&gt;"-"</formula>
    </cfRule>
  </conditionalFormatting>
  <conditionalFormatting sqref="D22">
    <cfRule type="expression" dxfId="385" priority="792">
      <formula>$H22&lt;&gt;"-"</formula>
    </cfRule>
  </conditionalFormatting>
  <conditionalFormatting sqref="E22">
    <cfRule type="expression" dxfId="384" priority="791">
      <formula>$I22&lt;&gt;"-"</formula>
    </cfRule>
  </conditionalFormatting>
  <conditionalFormatting sqref="N22">
    <cfRule type="expression" dxfId="383" priority="789">
      <formula>AND($G22="Yes", $S$6="Exclude")</formula>
    </cfRule>
    <cfRule type="expression" dxfId="382" priority="790">
      <formula>$J22="Yes"</formula>
    </cfRule>
  </conditionalFormatting>
  <conditionalFormatting sqref="B31">
    <cfRule type="expression" dxfId="381" priority="786">
      <formula>AD31&lt;&gt;""</formula>
    </cfRule>
  </conditionalFormatting>
  <conditionalFormatting sqref="Z31">
    <cfRule type="cellIs" dxfId="380" priority="784" operator="greaterThan">
      <formula>0</formula>
    </cfRule>
    <cfRule type="cellIs" dxfId="379" priority="785" operator="lessThan">
      <formula>0</formula>
    </cfRule>
  </conditionalFormatting>
  <conditionalFormatting sqref="S31">
    <cfRule type="cellIs" dxfId="378" priority="783" operator="lessThan">
      <formula>0</formula>
    </cfRule>
  </conditionalFormatting>
  <conditionalFormatting sqref="P31">
    <cfRule type="cellIs" dxfId="377" priority="781" operator="equal">
      <formula>AS_DURATION_EFFORT</formula>
    </cfRule>
    <cfRule type="cellIs" dxfId="376" priority="782" operator="equal">
      <formula>AS_DEV_EFFORT</formula>
    </cfRule>
  </conditionalFormatting>
  <conditionalFormatting sqref="L31:M31 O31:AC31">
    <cfRule type="expression" dxfId="375" priority="787">
      <formula>AND($G31="Yes", $S$6="Exclude")</formula>
    </cfRule>
    <cfRule type="expression" dxfId="374" priority="788">
      <formula>$J31="Yes"</formula>
    </cfRule>
  </conditionalFormatting>
  <conditionalFormatting sqref="F31">
    <cfRule type="expression" dxfId="373" priority="780">
      <formula>$K31&lt;&gt;""</formula>
    </cfRule>
  </conditionalFormatting>
  <conditionalFormatting sqref="C31">
    <cfRule type="expression" dxfId="372" priority="779">
      <formula>$G31&lt;&gt;"-"</formula>
    </cfRule>
  </conditionalFormatting>
  <conditionalFormatting sqref="D31">
    <cfRule type="expression" dxfId="371" priority="778">
      <formula>$H31&lt;&gt;"-"</formula>
    </cfRule>
  </conditionalFormatting>
  <conditionalFormatting sqref="E31">
    <cfRule type="expression" dxfId="370" priority="777">
      <formula>$I31&lt;&gt;"-"</formula>
    </cfRule>
  </conditionalFormatting>
  <conditionalFormatting sqref="B30">
    <cfRule type="expression" dxfId="369" priority="774">
      <formula>AD30&lt;&gt;""</formula>
    </cfRule>
  </conditionalFormatting>
  <conditionalFormatting sqref="Z30">
    <cfRule type="cellIs" dxfId="368" priority="772" operator="greaterThan">
      <formula>0</formula>
    </cfRule>
    <cfRule type="cellIs" dxfId="367" priority="773" operator="lessThan">
      <formula>0</formula>
    </cfRule>
  </conditionalFormatting>
  <conditionalFormatting sqref="S30">
    <cfRule type="cellIs" dxfId="366" priority="771" operator="lessThan">
      <formula>0</formula>
    </cfRule>
  </conditionalFormatting>
  <conditionalFormatting sqref="P30">
    <cfRule type="cellIs" dxfId="365" priority="769" operator="equal">
      <formula>AS_DURATION_EFFORT</formula>
    </cfRule>
    <cfRule type="cellIs" dxfId="364" priority="770" operator="equal">
      <formula>AS_DEV_EFFORT</formula>
    </cfRule>
  </conditionalFormatting>
  <conditionalFormatting sqref="L30:M30 P30:AC30">
    <cfRule type="expression" dxfId="363" priority="775">
      <formula>AND($G30="Yes", $S$6="Exclude")</formula>
    </cfRule>
    <cfRule type="expression" dxfId="362" priority="776">
      <formula>$J30="Yes"</formula>
    </cfRule>
  </conditionalFormatting>
  <conditionalFormatting sqref="F30">
    <cfRule type="expression" dxfId="361" priority="768">
      <formula>$K30&lt;&gt;""</formula>
    </cfRule>
  </conditionalFormatting>
  <conditionalFormatting sqref="C30">
    <cfRule type="expression" dxfId="360" priority="767">
      <formula>$G30&lt;&gt;"-"</formula>
    </cfRule>
  </conditionalFormatting>
  <conditionalFormatting sqref="D30">
    <cfRule type="expression" dxfId="359" priority="766">
      <formula>$H30&lt;&gt;"-"</formula>
    </cfRule>
  </conditionalFormatting>
  <conditionalFormatting sqref="E30">
    <cfRule type="expression" dxfId="358" priority="765">
      <formula>$I30&lt;&gt;"-"</formula>
    </cfRule>
  </conditionalFormatting>
  <conditionalFormatting sqref="B29">
    <cfRule type="expression" dxfId="357" priority="762">
      <formula>AD29&lt;&gt;""</formula>
    </cfRule>
  </conditionalFormatting>
  <conditionalFormatting sqref="Z29">
    <cfRule type="cellIs" dxfId="356" priority="760" operator="greaterThan">
      <formula>0</formula>
    </cfRule>
    <cfRule type="cellIs" dxfId="355" priority="761" operator="lessThan">
      <formula>0</formula>
    </cfRule>
  </conditionalFormatting>
  <conditionalFormatting sqref="S29">
    <cfRule type="cellIs" dxfId="354" priority="759" operator="lessThan">
      <formula>0</formula>
    </cfRule>
  </conditionalFormatting>
  <conditionalFormatting sqref="P29">
    <cfRule type="cellIs" dxfId="353" priority="757" operator="equal">
      <formula>AS_DURATION_EFFORT</formula>
    </cfRule>
    <cfRule type="cellIs" dxfId="352" priority="758" operator="equal">
      <formula>AS_DEV_EFFORT</formula>
    </cfRule>
  </conditionalFormatting>
  <conditionalFormatting sqref="L29:M29 P29:AC29">
    <cfRule type="expression" dxfId="351" priority="763">
      <formula>AND($G29="Yes", $S$6="Exclude")</formula>
    </cfRule>
    <cfRule type="expression" dxfId="350" priority="764">
      <formula>$J29="Yes"</formula>
    </cfRule>
  </conditionalFormatting>
  <conditionalFormatting sqref="F29">
    <cfRule type="expression" dxfId="349" priority="756">
      <formula>$K29&lt;&gt;""</formula>
    </cfRule>
  </conditionalFormatting>
  <conditionalFormatting sqref="C29">
    <cfRule type="expression" dxfId="348" priority="755">
      <formula>$G29&lt;&gt;"-"</formula>
    </cfRule>
  </conditionalFormatting>
  <conditionalFormatting sqref="D29">
    <cfRule type="expression" dxfId="347" priority="754">
      <formula>$H29&lt;&gt;"-"</formula>
    </cfRule>
  </conditionalFormatting>
  <conditionalFormatting sqref="E29">
    <cfRule type="expression" dxfId="346" priority="753">
      <formula>$I29&lt;&gt;"-"</formula>
    </cfRule>
  </conditionalFormatting>
  <conditionalFormatting sqref="N30:N31">
    <cfRule type="expression" dxfId="345" priority="751">
      <formula>AND($G30="Yes", $S$6="Exclude")</formula>
    </cfRule>
    <cfRule type="expression" dxfId="344" priority="752">
      <formula>$J30="Yes"</formula>
    </cfRule>
  </conditionalFormatting>
  <conditionalFormatting sqref="N28">
    <cfRule type="expression" dxfId="343" priority="749">
      <formula>AND($G28="Yes", $S$6="Exclude")</formula>
    </cfRule>
    <cfRule type="expression" dxfId="342" priority="750">
      <formula>$J28="Yes"</formula>
    </cfRule>
  </conditionalFormatting>
  <conditionalFormatting sqref="N29">
    <cfRule type="expression" dxfId="341" priority="747">
      <formula>AND($G29="Yes", $S$6="Exclude")</formula>
    </cfRule>
    <cfRule type="expression" dxfId="340" priority="748">
      <formula>$J29="Yes"</formula>
    </cfRule>
  </conditionalFormatting>
  <conditionalFormatting sqref="O30">
    <cfRule type="expression" dxfId="339" priority="745">
      <formula>AND($G30="Yes", $S$6="Exclude")</formula>
    </cfRule>
    <cfRule type="expression" dxfId="338" priority="746">
      <formula>$J30="Yes"</formula>
    </cfRule>
  </conditionalFormatting>
  <conditionalFormatting sqref="O29">
    <cfRule type="expression" dxfId="337" priority="743">
      <formula>AND($G29="Yes", $S$6="Exclude")</formula>
    </cfRule>
    <cfRule type="expression" dxfId="336" priority="744">
      <formula>$J29="Yes"</formula>
    </cfRule>
  </conditionalFormatting>
  <conditionalFormatting sqref="B39">
    <cfRule type="expression" dxfId="335" priority="740">
      <formula>AD39&lt;&gt;""</formula>
    </cfRule>
  </conditionalFormatting>
  <conditionalFormatting sqref="Z39">
    <cfRule type="cellIs" dxfId="334" priority="738" operator="greaterThan">
      <formula>0</formula>
    </cfRule>
    <cfRule type="cellIs" dxfId="333" priority="739" operator="lessThan">
      <formula>0</formula>
    </cfRule>
  </conditionalFormatting>
  <conditionalFormatting sqref="S39">
    <cfRule type="cellIs" dxfId="332" priority="737" operator="lessThan">
      <formula>0</formula>
    </cfRule>
  </conditionalFormatting>
  <conditionalFormatting sqref="P39">
    <cfRule type="cellIs" dxfId="331" priority="735" operator="equal">
      <formula>AS_DURATION_EFFORT</formula>
    </cfRule>
    <cfRule type="cellIs" dxfId="330" priority="736" operator="equal">
      <formula>AS_DEV_EFFORT</formula>
    </cfRule>
  </conditionalFormatting>
  <conditionalFormatting sqref="L39:M39 O39:AC39">
    <cfRule type="expression" dxfId="329" priority="741">
      <formula>AND($G39="Yes", $S$6="Exclude")</formula>
    </cfRule>
    <cfRule type="expression" dxfId="328" priority="742">
      <formula>$J39="Yes"</formula>
    </cfRule>
  </conditionalFormatting>
  <conditionalFormatting sqref="F39">
    <cfRule type="expression" dxfId="327" priority="734">
      <formula>$K39&lt;&gt;""</formula>
    </cfRule>
  </conditionalFormatting>
  <conditionalFormatting sqref="C39">
    <cfRule type="expression" dxfId="326" priority="733">
      <formula>$G39&lt;&gt;"-"</formula>
    </cfRule>
  </conditionalFormatting>
  <conditionalFormatting sqref="D39">
    <cfRule type="expression" dxfId="325" priority="732">
      <formula>$H39&lt;&gt;"-"</formula>
    </cfRule>
  </conditionalFormatting>
  <conditionalFormatting sqref="E39">
    <cfRule type="expression" dxfId="324" priority="731">
      <formula>$I39&lt;&gt;"-"</formula>
    </cfRule>
  </conditionalFormatting>
  <conditionalFormatting sqref="B38">
    <cfRule type="expression" dxfId="323" priority="728">
      <formula>AD38&lt;&gt;""</formula>
    </cfRule>
  </conditionalFormatting>
  <conditionalFormatting sqref="Z38">
    <cfRule type="cellIs" dxfId="322" priority="726" operator="greaterThan">
      <formula>0</formula>
    </cfRule>
    <cfRule type="cellIs" dxfId="321" priority="727" operator="lessThan">
      <formula>0</formula>
    </cfRule>
  </conditionalFormatting>
  <conditionalFormatting sqref="S38">
    <cfRule type="cellIs" dxfId="320" priority="725" operator="lessThan">
      <formula>0</formula>
    </cfRule>
  </conditionalFormatting>
  <conditionalFormatting sqref="P38">
    <cfRule type="cellIs" dxfId="319" priority="723" operator="equal">
      <formula>AS_DURATION_EFFORT</formula>
    </cfRule>
    <cfRule type="cellIs" dxfId="318" priority="724" operator="equal">
      <formula>AS_DEV_EFFORT</formula>
    </cfRule>
  </conditionalFormatting>
  <conditionalFormatting sqref="L38:M38 P38:AC38">
    <cfRule type="expression" dxfId="317" priority="729">
      <formula>AND($G38="Yes", $S$6="Exclude")</formula>
    </cfRule>
    <cfRule type="expression" dxfId="316" priority="730">
      <formula>$J38="Yes"</formula>
    </cfRule>
  </conditionalFormatting>
  <conditionalFormatting sqref="F38">
    <cfRule type="expression" dxfId="315" priority="722">
      <formula>$K38&lt;&gt;""</formula>
    </cfRule>
  </conditionalFormatting>
  <conditionalFormatting sqref="C38">
    <cfRule type="expression" dxfId="314" priority="721">
      <formula>$G38&lt;&gt;"-"</formula>
    </cfRule>
  </conditionalFormatting>
  <conditionalFormatting sqref="D38">
    <cfRule type="expression" dxfId="313" priority="720">
      <formula>$H38&lt;&gt;"-"</formula>
    </cfRule>
  </conditionalFormatting>
  <conditionalFormatting sqref="E38">
    <cfRule type="expression" dxfId="312" priority="719">
      <formula>$I38&lt;&gt;"-"</formula>
    </cfRule>
  </conditionalFormatting>
  <conditionalFormatting sqref="B37">
    <cfRule type="expression" dxfId="311" priority="716">
      <formula>AD37&lt;&gt;""</formula>
    </cfRule>
  </conditionalFormatting>
  <conditionalFormatting sqref="Z37">
    <cfRule type="cellIs" dxfId="310" priority="714" operator="greaterThan">
      <formula>0</formula>
    </cfRule>
    <cfRule type="cellIs" dxfId="309" priority="715" operator="lessThan">
      <formula>0</formula>
    </cfRule>
  </conditionalFormatting>
  <conditionalFormatting sqref="S37">
    <cfRule type="cellIs" dxfId="308" priority="713" operator="lessThan">
      <formula>0</formula>
    </cfRule>
  </conditionalFormatting>
  <conditionalFormatting sqref="P37">
    <cfRule type="cellIs" dxfId="307" priority="711" operator="equal">
      <formula>AS_DURATION_EFFORT</formula>
    </cfRule>
    <cfRule type="cellIs" dxfId="306" priority="712" operator="equal">
      <formula>AS_DEV_EFFORT</formula>
    </cfRule>
  </conditionalFormatting>
  <conditionalFormatting sqref="L37:M37 P37:AC37">
    <cfRule type="expression" dxfId="305" priority="717">
      <formula>AND($G37="Yes", $S$6="Exclude")</formula>
    </cfRule>
    <cfRule type="expression" dxfId="304" priority="718">
      <formula>$J37="Yes"</formula>
    </cfRule>
  </conditionalFormatting>
  <conditionalFormatting sqref="F37">
    <cfRule type="expression" dxfId="303" priority="710">
      <formula>$K37&lt;&gt;""</formula>
    </cfRule>
  </conditionalFormatting>
  <conditionalFormatting sqref="C37">
    <cfRule type="expression" dxfId="302" priority="709">
      <formula>$G37&lt;&gt;"-"</formula>
    </cfRule>
  </conditionalFormatting>
  <conditionalFormatting sqref="D37">
    <cfRule type="expression" dxfId="301" priority="708">
      <formula>$H37&lt;&gt;"-"</formula>
    </cfRule>
  </conditionalFormatting>
  <conditionalFormatting sqref="E37">
    <cfRule type="expression" dxfId="300" priority="707">
      <formula>$I37&lt;&gt;"-"</formula>
    </cfRule>
  </conditionalFormatting>
  <conditionalFormatting sqref="B36">
    <cfRule type="expression" dxfId="299" priority="704">
      <formula>AD36&lt;&gt;""</formula>
    </cfRule>
  </conditionalFormatting>
  <conditionalFormatting sqref="Z36">
    <cfRule type="cellIs" dxfId="298" priority="702" operator="greaterThan">
      <formula>0</formula>
    </cfRule>
    <cfRule type="cellIs" dxfId="297" priority="703" operator="lessThan">
      <formula>0</formula>
    </cfRule>
  </conditionalFormatting>
  <conditionalFormatting sqref="S36">
    <cfRule type="cellIs" dxfId="296" priority="701" operator="lessThan">
      <formula>0</formula>
    </cfRule>
  </conditionalFormatting>
  <conditionalFormatting sqref="P36">
    <cfRule type="cellIs" dxfId="295" priority="699" operator="equal">
      <formula>AS_DURATION_EFFORT</formula>
    </cfRule>
    <cfRule type="cellIs" dxfId="294" priority="700" operator="equal">
      <formula>AS_DEV_EFFORT</formula>
    </cfRule>
  </conditionalFormatting>
  <conditionalFormatting sqref="L36:M36 P36:AC36">
    <cfRule type="expression" dxfId="293" priority="705">
      <formula>AND($G36="Yes", $S$6="Exclude")</formula>
    </cfRule>
    <cfRule type="expression" dxfId="292" priority="706">
      <formula>$J36="Yes"</formula>
    </cfRule>
  </conditionalFormatting>
  <conditionalFormatting sqref="F36">
    <cfRule type="expression" dxfId="291" priority="698">
      <formula>$K36&lt;&gt;""</formula>
    </cfRule>
  </conditionalFormatting>
  <conditionalFormatting sqref="C36">
    <cfRule type="expression" dxfId="290" priority="697">
      <formula>$G36&lt;&gt;"-"</formula>
    </cfRule>
  </conditionalFormatting>
  <conditionalFormatting sqref="D36">
    <cfRule type="expression" dxfId="289" priority="696">
      <formula>$H36&lt;&gt;"-"</formula>
    </cfRule>
  </conditionalFormatting>
  <conditionalFormatting sqref="E36">
    <cfRule type="expression" dxfId="288" priority="695">
      <formula>$I36&lt;&gt;"-"</formula>
    </cfRule>
  </conditionalFormatting>
  <conditionalFormatting sqref="N35">
    <cfRule type="expression" dxfId="287" priority="693">
      <formula>AND($G35="Yes", $S$6="Exclude")</formula>
    </cfRule>
    <cfRule type="expression" dxfId="286" priority="694">
      <formula>$J35="Yes"</formula>
    </cfRule>
  </conditionalFormatting>
  <conditionalFormatting sqref="N38">
    <cfRule type="expression" dxfId="285" priority="691">
      <formula>AND($G38="Yes", $S$6="Exclude")</formula>
    </cfRule>
    <cfRule type="expression" dxfId="284" priority="692">
      <formula>$J38="Yes"</formula>
    </cfRule>
  </conditionalFormatting>
  <conditionalFormatting sqref="N37">
    <cfRule type="expression" dxfId="283" priority="689">
      <formula>AND($G37="Yes", $S$6="Exclude")</formula>
    </cfRule>
    <cfRule type="expression" dxfId="282" priority="690">
      <formula>$J37="Yes"</formula>
    </cfRule>
  </conditionalFormatting>
  <conditionalFormatting sqref="N36">
    <cfRule type="expression" dxfId="281" priority="687">
      <formula>AND($G36="Yes", $S$6="Exclude")</formula>
    </cfRule>
    <cfRule type="expression" dxfId="280" priority="688">
      <formula>$J36="Yes"</formula>
    </cfRule>
  </conditionalFormatting>
  <conditionalFormatting sqref="N39">
    <cfRule type="expression" dxfId="279" priority="685">
      <formula>AND($G39="Yes", $S$6="Exclude")</formula>
    </cfRule>
    <cfRule type="expression" dxfId="278" priority="686">
      <formula>$J39="Yes"</formula>
    </cfRule>
  </conditionalFormatting>
  <conditionalFormatting sqref="O36">
    <cfRule type="expression" dxfId="277" priority="683">
      <formula>AND($G36="Yes", $S$6="Exclude")</formula>
    </cfRule>
    <cfRule type="expression" dxfId="276" priority="684">
      <formula>$J36="Yes"</formula>
    </cfRule>
  </conditionalFormatting>
  <conditionalFormatting sqref="O37">
    <cfRule type="expression" dxfId="275" priority="681">
      <formula>AND($G37="Yes", $S$6="Exclude")</formula>
    </cfRule>
    <cfRule type="expression" dxfId="274" priority="682">
      <formula>$J37="Yes"</formula>
    </cfRule>
  </conditionalFormatting>
  <conditionalFormatting sqref="O38">
    <cfRule type="expression" dxfId="273" priority="679">
      <formula>AND($G38="Yes", $S$6="Exclude")</formula>
    </cfRule>
    <cfRule type="expression" dxfId="272" priority="680">
      <formula>$J38="Yes"</formula>
    </cfRule>
  </conditionalFormatting>
  <conditionalFormatting sqref="B45">
    <cfRule type="expression" dxfId="271" priority="676">
      <formula>AD45&lt;&gt;""</formula>
    </cfRule>
  </conditionalFormatting>
  <conditionalFormatting sqref="Z45">
    <cfRule type="cellIs" dxfId="270" priority="674" operator="greaterThan">
      <formula>0</formula>
    </cfRule>
    <cfRule type="cellIs" dxfId="269" priority="675" operator="lessThan">
      <formula>0</formula>
    </cfRule>
  </conditionalFormatting>
  <conditionalFormatting sqref="S45">
    <cfRule type="cellIs" dxfId="268" priority="673" operator="lessThan">
      <formula>0</formula>
    </cfRule>
  </conditionalFormatting>
  <conditionalFormatting sqref="P45">
    <cfRule type="cellIs" dxfId="267" priority="671" operator="equal">
      <formula>AS_DURATION_EFFORT</formula>
    </cfRule>
    <cfRule type="cellIs" dxfId="266" priority="672" operator="equal">
      <formula>AS_DEV_EFFORT</formula>
    </cfRule>
  </conditionalFormatting>
  <conditionalFormatting sqref="L45:M45 P45:AC45">
    <cfRule type="expression" dxfId="265" priority="677">
      <formula>AND($G45="Yes", $S$6="Exclude")</formula>
    </cfRule>
    <cfRule type="expression" dxfId="264" priority="678">
      <formula>$J45="Yes"</formula>
    </cfRule>
  </conditionalFormatting>
  <conditionalFormatting sqref="F45">
    <cfRule type="expression" dxfId="263" priority="670">
      <formula>$K45&lt;&gt;""</formula>
    </cfRule>
  </conditionalFormatting>
  <conditionalFormatting sqref="C45">
    <cfRule type="expression" dxfId="262" priority="669">
      <formula>$G45&lt;&gt;"-"</formula>
    </cfRule>
  </conditionalFormatting>
  <conditionalFormatting sqref="D45">
    <cfRule type="expression" dxfId="261" priority="668">
      <formula>$H45&lt;&gt;"-"</formula>
    </cfRule>
  </conditionalFormatting>
  <conditionalFormatting sqref="E45">
    <cfRule type="expression" dxfId="260" priority="667">
      <formula>$I45&lt;&gt;"-"</formula>
    </cfRule>
  </conditionalFormatting>
  <conditionalFormatting sqref="B44">
    <cfRule type="expression" dxfId="259" priority="664">
      <formula>AD44&lt;&gt;""</formula>
    </cfRule>
  </conditionalFormatting>
  <conditionalFormatting sqref="Z44">
    <cfRule type="cellIs" dxfId="258" priority="662" operator="greaterThan">
      <formula>0</formula>
    </cfRule>
    <cfRule type="cellIs" dxfId="257" priority="663" operator="lessThan">
      <formula>0</formula>
    </cfRule>
  </conditionalFormatting>
  <conditionalFormatting sqref="S44">
    <cfRule type="cellIs" dxfId="256" priority="661" operator="lessThan">
      <formula>0</formula>
    </cfRule>
  </conditionalFormatting>
  <conditionalFormatting sqref="P44">
    <cfRule type="cellIs" dxfId="255" priority="659" operator="equal">
      <formula>AS_DURATION_EFFORT</formula>
    </cfRule>
    <cfRule type="cellIs" dxfId="254" priority="660" operator="equal">
      <formula>AS_DEV_EFFORT</formula>
    </cfRule>
  </conditionalFormatting>
  <conditionalFormatting sqref="L44:M44 P44:AC44">
    <cfRule type="expression" dxfId="253" priority="665">
      <formula>AND($G44="Yes", $S$6="Exclude")</formula>
    </cfRule>
    <cfRule type="expression" dxfId="252" priority="666">
      <formula>$J44="Yes"</formula>
    </cfRule>
  </conditionalFormatting>
  <conditionalFormatting sqref="F44">
    <cfRule type="expression" dxfId="251" priority="658">
      <formula>$K44&lt;&gt;""</formula>
    </cfRule>
  </conditionalFormatting>
  <conditionalFormatting sqref="C44">
    <cfRule type="expression" dxfId="250" priority="657">
      <formula>$G44&lt;&gt;"-"</formula>
    </cfRule>
  </conditionalFormatting>
  <conditionalFormatting sqref="D44">
    <cfRule type="expression" dxfId="249" priority="656">
      <formula>$H44&lt;&gt;"-"</formula>
    </cfRule>
  </conditionalFormatting>
  <conditionalFormatting sqref="E44">
    <cfRule type="expression" dxfId="248" priority="655">
      <formula>$I44&lt;&gt;"-"</formula>
    </cfRule>
  </conditionalFormatting>
  <conditionalFormatting sqref="N43:O45">
    <cfRule type="expression" dxfId="247" priority="653">
      <formula>AND($G43="Yes", $S$6="Exclude")</formula>
    </cfRule>
    <cfRule type="expression" dxfId="246" priority="654">
      <formula>$J43="Yes"</formula>
    </cfRule>
  </conditionalFormatting>
  <conditionalFormatting sqref="B54">
    <cfRule type="expression" dxfId="245" priority="648">
      <formula>AD54&lt;&gt;""</formula>
    </cfRule>
  </conditionalFormatting>
  <conditionalFormatting sqref="Z54">
    <cfRule type="cellIs" dxfId="244" priority="646" operator="greaterThan">
      <formula>0</formula>
    </cfRule>
    <cfRule type="cellIs" dxfId="243" priority="647" operator="lessThan">
      <formula>0</formula>
    </cfRule>
  </conditionalFormatting>
  <conditionalFormatting sqref="S54">
    <cfRule type="cellIs" dxfId="242" priority="645" operator="lessThan">
      <formula>0</formula>
    </cfRule>
  </conditionalFormatting>
  <conditionalFormatting sqref="P54">
    <cfRule type="cellIs" dxfId="241" priority="643" operator="equal">
      <formula>AS_DURATION_EFFORT</formula>
    </cfRule>
    <cfRule type="cellIs" dxfId="240" priority="644" operator="equal">
      <formula>AS_DEV_EFFORT</formula>
    </cfRule>
  </conditionalFormatting>
  <conditionalFormatting sqref="L54:M54 O54:AC54">
    <cfRule type="expression" dxfId="239" priority="649">
      <formula>AND($G54="Yes", $S$6="Exclude")</formula>
    </cfRule>
    <cfRule type="expression" dxfId="238" priority="650">
      <formula>$J54="Yes"</formula>
    </cfRule>
  </conditionalFormatting>
  <conditionalFormatting sqref="F54">
    <cfRule type="expression" dxfId="237" priority="642">
      <formula>$K54&lt;&gt;""</formula>
    </cfRule>
  </conditionalFormatting>
  <conditionalFormatting sqref="C54">
    <cfRule type="expression" dxfId="236" priority="641">
      <formula>$G54&lt;&gt;"-"</formula>
    </cfRule>
  </conditionalFormatting>
  <conditionalFormatting sqref="D54">
    <cfRule type="expression" dxfId="235" priority="640">
      <formula>$H54&lt;&gt;"-"</formula>
    </cfRule>
  </conditionalFormatting>
  <conditionalFormatting sqref="E54">
    <cfRule type="expression" dxfId="234" priority="639">
      <formula>$I54&lt;&gt;"-"</formula>
    </cfRule>
  </conditionalFormatting>
  <conditionalFormatting sqref="B53">
    <cfRule type="expression" dxfId="233" priority="636">
      <formula>AD53&lt;&gt;""</formula>
    </cfRule>
  </conditionalFormatting>
  <conditionalFormatting sqref="Z53">
    <cfRule type="cellIs" dxfId="232" priority="634" operator="greaterThan">
      <formula>0</formula>
    </cfRule>
    <cfRule type="cellIs" dxfId="231" priority="635" operator="lessThan">
      <formula>0</formula>
    </cfRule>
  </conditionalFormatting>
  <conditionalFormatting sqref="S53">
    <cfRule type="cellIs" dxfId="230" priority="633" operator="lessThan">
      <formula>0</formula>
    </cfRule>
  </conditionalFormatting>
  <conditionalFormatting sqref="P53">
    <cfRule type="cellIs" dxfId="229" priority="631" operator="equal">
      <formula>AS_DURATION_EFFORT</formula>
    </cfRule>
    <cfRule type="cellIs" dxfId="228" priority="632" operator="equal">
      <formula>AS_DEV_EFFORT</formula>
    </cfRule>
  </conditionalFormatting>
  <conditionalFormatting sqref="L53:M53 O53:AC53">
    <cfRule type="expression" dxfId="227" priority="637">
      <formula>AND($G53="Yes", $S$6="Exclude")</formula>
    </cfRule>
    <cfRule type="expression" dxfId="226" priority="638">
      <formula>$J53="Yes"</formula>
    </cfRule>
  </conditionalFormatting>
  <conditionalFormatting sqref="F53">
    <cfRule type="expression" dxfId="225" priority="630">
      <formula>$K53&lt;&gt;""</formula>
    </cfRule>
  </conditionalFormatting>
  <conditionalFormatting sqref="C53">
    <cfRule type="expression" dxfId="224" priority="629">
      <formula>$G53&lt;&gt;"-"</formula>
    </cfRule>
  </conditionalFormatting>
  <conditionalFormatting sqref="D53">
    <cfRule type="expression" dxfId="223" priority="628">
      <formula>$H53&lt;&gt;"-"</formula>
    </cfRule>
  </conditionalFormatting>
  <conditionalFormatting sqref="E53">
    <cfRule type="expression" dxfId="222" priority="627">
      <formula>$I53&lt;&gt;"-"</formula>
    </cfRule>
  </conditionalFormatting>
  <conditionalFormatting sqref="B52">
    <cfRule type="expression" dxfId="221" priority="624">
      <formula>AD52&lt;&gt;""</formula>
    </cfRule>
  </conditionalFormatting>
  <conditionalFormatting sqref="Z52">
    <cfRule type="cellIs" dxfId="220" priority="622" operator="greaterThan">
      <formula>0</formula>
    </cfRule>
    <cfRule type="cellIs" dxfId="219" priority="623" operator="lessThan">
      <formula>0</formula>
    </cfRule>
  </conditionalFormatting>
  <conditionalFormatting sqref="S52">
    <cfRule type="cellIs" dxfId="218" priority="621" operator="lessThan">
      <formula>0</formula>
    </cfRule>
  </conditionalFormatting>
  <conditionalFormatting sqref="P52">
    <cfRule type="cellIs" dxfId="217" priority="619" operator="equal">
      <formula>AS_DURATION_EFFORT</formula>
    </cfRule>
    <cfRule type="cellIs" dxfId="216" priority="620" operator="equal">
      <formula>AS_DEV_EFFORT</formula>
    </cfRule>
  </conditionalFormatting>
  <conditionalFormatting sqref="L52:M52 O52:AC52">
    <cfRule type="expression" dxfId="215" priority="625">
      <formula>AND($G52="Yes", $S$6="Exclude")</formula>
    </cfRule>
    <cfRule type="expression" dxfId="214" priority="626">
      <formula>$J52="Yes"</formula>
    </cfRule>
  </conditionalFormatting>
  <conditionalFormatting sqref="F52">
    <cfRule type="expression" dxfId="213" priority="618">
      <formula>$K52&lt;&gt;""</formula>
    </cfRule>
  </conditionalFormatting>
  <conditionalFormatting sqref="C52">
    <cfRule type="expression" dxfId="212" priority="617">
      <formula>$G52&lt;&gt;"-"</formula>
    </cfRule>
  </conditionalFormatting>
  <conditionalFormatting sqref="D52">
    <cfRule type="expression" dxfId="211" priority="616">
      <formula>$H52&lt;&gt;"-"</formula>
    </cfRule>
  </conditionalFormatting>
  <conditionalFormatting sqref="E52">
    <cfRule type="expression" dxfId="210" priority="615">
      <formula>$I52&lt;&gt;"-"</formula>
    </cfRule>
  </conditionalFormatting>
  <conditionalFormatting sqref="B51">
    <cfRule type="expression" dxfId="209" priority="612">
      <formula>AD51&lt;&gt;""</formula>
    </cfRule>
  </conditionalFormatting>
  <conditionalFormatting sqref="Z51">
    <cfRule type="cellIs" dxfId="208" priority="610" operator="greaterThan">
      <formula>0</formula>
    </cfRule>
    <cfRule type="cellIs" dxfId="207" priority="611" operator="lessThan">
      <formula>0</formula>
    </cfRule>
  </conditionalFormatting>
  <conditionalFormatting sqref="S51">
    <cfRule type="cellIs" dxfId="206" priority="609" operator="lessThan">
      <formula>0</formula>
    </cfRule>
  </conditionalFormatting>
  <conditionalFormatting sqref="P51">
    <cfRule type="cellIs" dxfId="205" priority="607" operator="equal">
      <formula>AS_DURATION_EFFORT</formula>
    </cfRule>
    <cfRule type="cellIs" dxfId="204" priority="608" operator="equal">
      <formula>AS_DEV_EFFORT</formula>
    </cfRule>
  </conditionalFormatting>
  <conditionalFormatting sqref="L51:M51 O51:AC51">
    <cfRule type="expression" dxfId="203" priority="613">
      <formula>AND($G51="Yes", $S$6="Exclude")</formula>
    </cfRule>
    <cfRule type="expression" dxfId="202" priority="614">
      <formula>$J51="Yes"</formula>
    </cfRule>
  </conditionalFormatting>
  <conditionalFormatting sqref="F51">
    <cfRule type="expression" dxfId="201" priority="606">
      <formula>$K51&lt;&gt;""</formula>
    </cfRule>
  </conditionalFormatting>
  <conditionalFormatting sqref="C51">
    <cfRule type="expression" dxfId="200" priority="605">
      <formula>$G51&lt;&gt;"-"</formula>
    </cfRule>
  </conditionalFormatting>
  <conditionalFormatting sqref="D51">
    <cfRule type="expression" dxfId="199" priority="604">
      <formula>$H51&lt;&gt;"-"</formula>
    </cfRule>
  </conditionalFormatting>
  <conditionalFormatting sqref="E51">
    <cfRule type="expression" dxfId="198" priority="603">
      <formula>$I51&lt;&gt;"-"</formula>
    </cfRule>
  </conditionalFormatting>
  <conditionalFormatting sqref="B50">
    <cfRule type="expression" dxfId="197" priority="600">
      <formula>AD50&lt;&gt;""</formula>
    </cfRule>
  </conditionalFormatting>
  <conditionalFormatting sqref="Z50">
    <cfRule type="cellIs" dxfId="196" priority="598" operator="greaterThan">
      <formula>0</formula>
    </cfRule>
    <cfRule type="cellIs" dxfId="195" priority="599" operator="lessThan">
      <formula>0</formula>
    </cfRule>
  </conditionalFormatting>
  <conditionalFormatting sqref="S50">
    <cfRule type="cellIs" dxfId="194" priority="597" operator="lessThan">
      <formula>0</formula>
    </cfRule>
  </conditionalFormatting>
  <conditionalFormatting sqref="P50">
    <cfRule type="cellIs" dxfId="193" priority="595" operator="equal">
      <formula>AS_DURATION_EFFORT</formula>
    </cfRule>
    <cfRule type="cellIs" dxfId="192" priority="596" operator="equal">
      <formula>AS_DEV_EFFORT</formula>
    </cfRule>
  </conditionalFormatting>
  <conditionalFormatting sqref="L50:M50 O50:AC50">
    <cfRule type="expression" dxfId="191" priority="601">
      <formula>AND($G50="Yes", $S$6="Exclude")</formula>
    </cfRule>
    <cfRule type="expression" dxfId="190" priority="602">
      <formula>$J50="Yes"</formula>
    </cfRule>
  </conditionalFormatting>
  <conditionalFormatting sqref="F50">
    <cfRule type="expression" dxfId="189" priority="594">
      <formula>$K50&lt;&gt;""</formula>
    </cfRule>
  </conditionalFormatting>
  <conditionalFormatting sqref="C50">
    <cfRule type="expression" dxfId="188" priority="593">
      <formula>$G50&lt;&gt;"-"</formula>
    </cfRule>
  </conditionalFormatting>
  <conditionalFormatting sqref="D50">
    <cfRule type="expression" dxfId="187" priority="592">
      <formula>$H50&lt;&gt;"-"</formula>
    </cfRule>
  </conditionalFormatting>
  <conditionalFormatting sqref="E50">
    <cfRule type="expression" dxfId="186" priority="591">
      <formula>$I50&lt;&gt;"-"</formula>
    </cfRule>
  </conditionalFormatting>
  <conditionalFormatting sqref="N49:N54">
    <cfRule type="expression" dxfId="185" priority="589">
      <formula>AND($G49="Yes", $S$6="Exclude")</formula>
    </cfRule>
    <cfRule type="expression" dxfId="184" priority="590">
      <formula>$J49="Yes"</formula>
    </cfRule>
  </conditionalFormatting>
  <conditionalFormatting sqref="B62">
    <cfRule type="expression" dxfId="183" priority="586">
      <formula>AD62&lt;&gt;""</formula>
    </cfRule>
  </conditionalFormatting>
  <conditionalFormatting sqref="Z62">
    <cfRule type="cellIs" dxfId="182" priority="584" operator="greaterThan">
      <formula>0</formula>
    </cfRule>
    <cfRule type="cellIs" dxfId="181" priority="585" operator="lessThan">
      <formula>0</formula>
    </cfRule>
  </conditionalFormatting>
  <conditionalFormatting sqref="S62">
    <cfRule type="cellIs" dxfId="180" priority="583" operator="lessThan">
      <formula>0</formula>
    </cfRule>
  </conditionalFormatting>
  <conditionalFormatting sqref="P62">
    <cfRule type="cellIs" dxfId="179" priority="581" operator="equal">
      <formula>AS_DURATION_EFFORT</formula>
    </cfRule>
    <cfRule type="cellIs" dxfId="178" priority="582" operator="equal">
      <formula>AS_DEV_EFFORT</formula>
    </cfRule>
  </conditionalFormatting>
  <conditionalFormatting sqref="L62:M62 P62:AC62">
    <cfRule type="expression" dxfId="177" priority="587">
      <formula>AND($G62="Yes", $S$6="Exclude")</formula>
    </cfRule>
    <cfRule type="expression" dxfId="176" priority="588">
      <formula>$J62="Yes"</formula>
    </cfRule>
  </conditionalFormatting>
  <conditionalFormatting sqref="F62">
    <cfRule type="expression" dxfId="175" priority="580">
      <formula>$K62&lt;&gt;""</formula>
    </cfRule>
  </conditionalFormatting>
  <conditionalFormatting sqref="C62">
    <cfRule type="expression" dxfId="174" priority="579">
      <formula>$G62&lt;&gt;"-"</formula>
    </cfRule>
  </conditionalFormatting>
  <conditionalFormatting sqref="D62">
    <cfRule type="expression" dxfId="173" priority="578">
      <formula>$H62&lt;&gt;"-"</formula>
    </cfRule>
  </conditionalFormatting>
  <conditionalFormatting sqref="E62">
    <cfRule type="expression" dxfId="172" priority="577">
      <formula>$I62&lt;&gt;"-"</formula>
    </cfRule>
  </conditionalFormatting>
  <conditionalFormatting sqref="B61">
    <cfRule type="expression" dxfId="171" priority="574">
      <formula>AD61&lt;&gt;""</formula>
    </cfRule>
  </conditionalFormatting>
  <conditionalFormatting sqref="Z61">
    <cfRule type="cellIs" dxfId="170" priority="572" operator="greaterThan">
      <formula>0</formula>
    </cfRule>
    <cfRule type="cellIs" dxfId="169" priority="573" operator="lessThan">
      <formula>0</formula>
    </cfRule>
  </conditionalFormatting>
  <conditionalFormatting sqref="S61">
    <cfRule type="cellIs" dxfId="168" priority="571" operator="lessThan">
      <formula>0</formula>
    </cfRule>
  </conditionalFormatting>
  <conditionalFormatting sqref="P61">
    <cfRule type="cellIs" dxfId="167" priority="569" operator="equal">
      <formula>AS_DURATION_EFFORT</formula>
    </cfRule>
    <cfRule type="cellIs" dxfId="166" priority="570" operator="equal">
      <formula>AS_DEV_EFFORT</formula>
    </cfRule>
  </conditionalFormatting>
  <conditionalFormatting sqref="L61:M61 P61:AC61">
    <cfRule type="expression" dxfId="165" priority="575">
      <formula>AND($G61="Yes", $S$6="Exclude")</formula>
    </cfRule>
    <cfRule type="expression" dxfId="164" priority="576">
      <formula>$J61="Yes"</formula>
    </cfRule>
  </conditionalFormatting>
  <conditionalFormatting sqref="F61">
    <cfRule type="expression" dxfId="163" priority="568">
      <formula>$K61&lt;&gt;""</formula>
    </cfRule>
  </conditionalFormatting>
  <conditionalFormatting sqref="C61">
    <cfRule type="expression" dxfId="162" priority="567">
      <formula>$G61&lt;&gt;"-"</formula>
    </cfRule>
  </conditionalFormatting>
  <conditionalFormatting sqref="D61">
    <cfRule type="expression" dxfId="161" priority="566">
      <formula>$H61&lt;&gt;"-"</formula>
    </cfRule>
  </conditionalFormatting>
  <conditionalFormatting sqref="E61">
    <cfRule type="expression" dxfId="160" priority="565">
      <formula>$I61&lt;&gt;"-"</formula>
    </cfRule>
  </conditionalFormatting>
  <conditionalFormatting sqref="B60">
    <cfRule type="expression" dxfId="159" priority="562">
      <formula>AD60&lt;&gt;""</formula>
    </cfRule>
  </conditionalFormatting>
  <conditionalFormatting sqref="Z60">
    <cfRule type="cellIs" dxfId="158" priority="560" operator="greaterThan">
      <formula>0</formula>
    </cfRule>
    <cfRule type="cellIs" dxfId="157" priority="561" operator="lessThan">
      <formula>0</formula>
    </cfRule>
  </conditionalFormatting>
  <conditionalFormatting sqref="S60">
    <cfRule type="cellIs" dxfId="156" priority="559" operator="lessThan">
      <formula>0</formula>
    </cfRule>
  </conditionalFormatting>
  <conditionalFormatting sqref="P60">
    <cfRule type="cellIs" dxfId="155" priority="557" operator="equal">
      <formula>AS_DURATION_EFFORT</formula>
    </cfRule>
    <cfRule type="cellIs" dxfId="154" priority="558" operator="equal">
      <formula>AS_DEV_EFFORT</formula>
    </cfRule>
  </conditionalFormatting>
  <conditionalFormatting sqref="L60:M60 P60:AC60">
    <cfRule type="expression" dxfId="153" priority="563">
      <formula>AND($G60="Yes", $S$6="Exclude")</formula>
    </cfRule>
    <cfRule type="expression" dxfId="152" priority="564">
      <formula>$J60="Yes"</formula>
    </cfRule>
  </conditionalFormatting>
  <conditionalFormatting sqref="F60">
    <cfRule type="expression" dxfId="151" priority="556">
      <formula>$K60&lt;&gt;""</formula>
    </cfRule>
  </conditionalFormatting>
  <conditionalFormatting sqref="C60">
    <cfRule type="expression" dxfId="150" priority="555">
      <formula>$G60&lt;&gt;"-"</formula>
    </cfRule>
  </conditionalFormatting>
  <conditionalFormatting sqref="D60">
    <cfRule type="expression" dxfId="149" priority="554">
      <formula>$H60&lt;&gt;"-"</formula>
    </cfRule>
  </conditionalFormatting>
  <conditionalFormatting sqref="E60">
    <cfRule type="expression" dxfId="148" priority="553">
      <formula>$I60&lt;&gt;"-"</formula>
    </cfRule>
  </conditionalFormatting>
  <conditionalFormatting sqref="B59">
    <cfRule type="expression" dxfId="147" priority="550">
      <formula>AD59&lt;&gt;""</formula>
    </cfRule>
  </conditionalFormatting>
  <conditionalFormatting sqref="Z59">
    <cfRule type="cellIs" dxfId="146" priority="548" operator="greaterThan">
      <formula>0</formula>
    </cfRule>
    <cfRule type="cellIs" dxfId="145" priority="549" operator="lessThan">
      <formula>0</formula>
    </cfRule>
  </conditionalFormatting>
  <conditionalFormatting sqref="S59">
    <cfRule type="cellIs" dxfId="144" priority="547" operator="lessThan">
      <formula>0</formula>
    </cfRule>
  </conditionalFormatting>
  <conditionalFormatting sqref="P59">
    <cfRule type="cellIs" dxfId="143" priority="545" operator="equal">
      <formula>AS_DURATION_EFFORT</formula>
    </cfRule>
    <cfRule type="cellIs" dxfId="142" priority="546" operator="equal">
      <formula>AS_DEV_EFFORT</formula>
    </cfRule>
  </conditionalFormatting>
  <conditionalFormatting sqref="L59:M59 P59:AC59">
    <cfRule type="expression" dxfId="141" priority="551">
      <formula>AND($G59="Yes", $S$6="Exclude")</formula>
    </cfRule>
    <cfRule type="expression" dxfId="140" priority="552">
      <formula>$J59="Yes"</formula>
    </cfRule>
  </conditionalFormatting>
  <conditionalFormatting sqref="F59">
    <cfRule type="expression" dxfId="139" priority="544">
      <formula>$K59&lt;&gt;""</formula>
    </cfRule>
  </conditionalFormatting>
  <conditionalFormatting sqref="C59">
    <cfRule type="expression" dxfId="138" priority="543">
      <formula>$G59&lt;&gt;"-"</formula>
    </cfRule>
  </conditionalFormatting>
  <conditionalFormatting sqref="D59">
    <cfRule type="expression" dxfId="137" priority="542">
      <formula>$H59&lt;&gt;"-"</formula>
    </cfRule>
  </conditionalFormatting>
  <conditionalFormatting sqref="E59">
    <cfRule type="expression" dxfId="136" priority="541">
      <formula>$I59&lt;&gt;"-"</formula>
    </cfRule>
  </conditionalFormatting>
  <conditionalFormatting sqref="N58:N62">
    <cfRule type="expression" dxfId="135" priority="539">
      <formula>AND($G58="Yes", $S$6="Exclude")</formula>
    </cfRule>
    <cfRule type="expression" dxfId="134" priority="540">
      <formula>$J58="Yes"</formula>
    </cfRule>
  </conditionalFormatting>
  <conditionalFormatting sqref="O58:O62">
    <cfRule type="expression" dxfId="133" priority="537">
      <formula>AND($G58="Yes", $S$6="Exclude")</formula>
    </cfRule>
    <cfRule type="expression" dxfId="132" priority="538">
      <formula>$J58="Yes"</formula>
    </cfRule>
  </conditionalFormatting>
  <conditionalFormatting sqref="B131">
    <cfRule type="expression" dxfId="131" priority="533">
      <formula>AD131&lt;&gt;""</formula>
    </cfRule>
  </conditionalFormatting>
  <conditionalFormatting sqref="Z131">
    <cfRule type="cellIs" dxfId="130" priority="531" operator="greaterThan">
      <formula>0</formula>
    </cfRule>
    <cfRule type="cellIs" dxfId="129" priority="532" operator="lessThan">
      <formula>0</formula>
    </cfRule>
  </conditionalFormatting>
  <conditionalFormatting sqref="S131">
    <cfRule type="cellIs" dxfId="128" priority="530" operator="lessThan">
      <formula>0</formula>
    </cfRule>
  </conditionalFormatting>
  <conditionalFormatting sqref="T129:T130">
    <cfRule type="expression" dxfId="127" priority="534">
      <formula>#REF!="Yes"</formula>
    </cfRule>
  </conditionalFormatting>
  <conditionalFormatting sqref="P131">
    <cfRule type="cellIs" dxfId="126" priority="528" operator="equal">
      <formula>AS_DURATION_EFFORT</formula>
    </cfRule>
    <cfRule type="cellIs" dxfId="125" priority="529" operator="equal">
      <formula>AS_DEV_EFFORT</formula>
    </cfRule>
  </conditionalFormatting>
  <conditionalFormatting sqref="B129:B130">
    <cfRule type="expression" dxfId="124" priority="527">
      <formula>AD129&lt;&gt;""</formula>
    </cfRule>
  </conditionalFormatting>
  <conditionalFormatting sqref="F131">
    <cfRule type="expression" dxfId="123" priority="526">
      <formula>$K131&lt;&gt;""</formula>
    </cfRule>
  </conditionalFormatting>
  <conditionalFormatting sqref="C131">
    <cfRule type="expression" dxfId="122" priority="525">
      <formula>$G131&lt;&gt;"-"</formula>
    </cfRule>
  </conditionalFormatting>
  <conditionalFormatting sqref="D131">
    <cfRule type="expression" dxfId="121" priority="524">
      <formula>$H131&lt;&gt;"-"</formula>
    </cfRule>
  </conditionalFormatting>
  <conditionalFormatting sqref="E131">
    <cfRule type="expression" dxfId="120" priority="523">
      <formula>$I131&lt;&gt;"-"</formula>
    </cfRule>
  </conditionalFormatting>
  <conditionalFormatting sqref="S128">
    <cfRule type="expression" dxfId="119" priority="522">
      <formula>#REF!="Yes"</formula>
    </cfRule>
  </conditionalFormatting>
  <conditionalFormatting sqref="B128">
    <cfRule type="expression" dxfId="118" priority="521">
      <formula>AD128&lt;&gt;""</formula>
    </cfRule>
  </conditionalFormatting>
  <conditionalFormatting sqref="B132">
    <cfRule type="expression" dxfId="117" priority="518">
      <formula>AD132&lt;&gt;""</formula>
    </cfRule>
  </conditionalFormatting>
  <conditionalFormatting sqref="Z132">
    <cfRule type="cellIs" dxfId="116" priority="516" operator="greaterThan">
      <formula>0</formula>
    </cfRule>
    <cfRule type="cellIs" dxfId="115" priority="517" operator="lessThan">
      <formula>0</formula>
    </cfRule>
  </conditionalFormatting>
  <conditionalFormatting sqref="S132">
    <cfRule type="cellIs" dxfId="114" priority="515" operator="lessThan">
      <formula>0</formula>
    </cfRule>
  </conditionalFormatting>
  <conditionalFormatting sqref="P132">
    <cfRule type="cellIs" dxfId="113" priority="513" operator="equal">
      <formula>AS_DURATION_EFFORT</formula>
    </cfRule>
    <cfRule type="cellIs" dxfId="112" priority="514" operator="equal">
      <formula>AS_DEV_EFFORT</formula>
    </cfRule>
  </conditionalFormatting>
  <conditionalFormatting sqref="F132">
    <cfRule type="expression" dxfId="111" priority="512">
      <formula>$K132&lt;&gt;""</formula>
    </cfRule>
  </conditionalFormatting>
  <conditionalFormatting sqref="C132">
    <cfRule type="expression" dxfId="110" priority="511">
      <formula>$G132&lt;&gt;"-"</formula>
    </cfRule>
  </conditionalFormatting>
  <conditionalFormatting sqref="D132">
    <cfRule type="expression" dxfId="109" priority="510">
      <formula>$H132&lt;&gt;"-"</formula>
    </cfRule>
  </conditionalFormatting>
  <conditionalFormatting sqref="E132">
    <cfRule type="expression" dxfId="108" priority="509">
      <formula>$I132&lt;&gt;"-"</formula>
    </cfRule>
  </conditionalFormatting>
  <conditionalFormatting sqref="L146:AC149">
    <cfRule type="expression" dxfId="107" priority="109">
      <formula>AND($G146="Yes", $S$6="Exclude")</formula>
    </cfRule>
    <cfRule type="expression" dxfId="106" priority="110">
      <formula>$J146="Yes"</formula>
    </cfRule>
  </conditionalFormatting>
  <conditionalFormatting sqref="B146">
    <cfRule type="expression" dxfId="105" priority="107">
      <formula>AD146&lt;&gt;""</formula>
    </cfRule>
  </conditionalFormatting>
  <conditionalFormatting sqref="Z146">
    <cfRule type="cellIs" dxfId="104" priority="105" operator="greaterThan">
      <formula>0</formula>
    </cfRule>
    <cfRule type="cellIs" dxfId="103" priority="106" operator="lessThan">
      <formula>0</formula>
    </cfRule>
  </conditionalFormatting>
  <conditionalFormatting sqref="S146">
    <cfRule type="cellIs" dxfId="102" priority="104" operator="lessThan">
      <formula>0</formula>
    </cfRule>
  </conditionalFormatting>
  <conditionalFormatting sqref="T144:T145">
    <cfRule type="expression" dxfId="101" priority="108">
      <formula>#REF!="Yes"</formula>
    </cfRule>
  </conditionalFormatting>
  <conditionalFormatting sqref="P146">
    <cfRule type="cellIs" dxfId="100" priority="102" operator="equal">
      <formula>AS_DURATION_EFFORT</formula>
    </cfRule>
    <cfRule type="cellIs" dxfId="99" priority="103" operator="equal">
      <formula>AS_DEV_EFFORT</formula>
    </cfRule>
  </conditionalFormatting>
  <conditionalFormatting sqref="B144:B145">
    <cfRule type="expression" dxfId="98" priority="101">
      <formula>AD144&lt;&gt;""</formula>
    </cfRule>
  </conditionalFormatting>
  <conditionalFormatting sqref="F146">
    <cfRule type="expression" dxfId="97" priority="100">
      <formula>$K146&lt;&gt;""</formula>
    </cfRule>
  </conditionalFormatting>
  <conditionalFormatting sqref="C146">
    <cfRule type="expression" dxfId="96" priority="99">
      <formula>$G146&lt;&gt;"-"</formula>
    </cfRule>
  </conditionalFormatting>
  <conditionalFormatting sqref="D146">
    <cfRule type="expression" dxfId="95" priority="98">
      <formula>$H146&lt;&gt;"-"</formula>
    </cfRule>
  </conditionalFormatting>
  <conditionalFormatting sqref="E146">
    <cfRule type="expression" dxfId="94" priority="97">
      <formula>$I146&lt;&gt;"-"</formula>
    </cfRule>
  </conditionalFormatting>
  <conditionalFormatting sqref="B147">
    <cfRule type="expression" dxfId="93" priority="96">
      <formula>AD147&lt;&gt;""</formula>
    </cfRule>
  </conditionalFormatting>
  <conditionalFormatting sqref="Z147">
    <cfRule type="cellIs" dxfId="92" priority="94" operator="greaterThan">
      <formula>0</formula>
    </cfRule>
    <cfRule type="cellIs" dxfId="91" priority="95" operator="lessThan">
      <formula>0</formula>
    </cfRule>
  </conditionalFormatting>
  <conditionalFormatting sqref="S147">
    <cfRule type="cellIs" dxfId="90" priority="93" operator="lessThan">
      <formula>0</formula>
    </cfRule>
  </conditionalFormatting>
  <conditionalFormatting sqref="P147">
    <cfRule type="cellIs" dxfId="89" priority="91" operator="equal">
      <formula>AS_DURATION_EFFORT</formula>
    </cfRule>
    <cfRule type="cellIs" dxfId="88" priority="92" operator="equal">
      <formula>AS_DEV_EFFORT</formula>
    </cfRule>
  </conditionalFormatting>
  <conditionalFormatting sqref="F147">
    <cfRule type="expression" dxfId="87" priority="90">
      <formula>$K147&lt;&gt;""</formula>
    </cfRule>
  </conditionalFormatting>
  <conditionalFormatting sqref="C147">
    <cfRule type="expression" dxfId="86" priority="89">
      <formula>$G147&lt;&gt;"-"</formula>
    </cfRule>
  </conditionalFormatting>
  <conditionalFormatting sqref="D147">
    <cfRule type="expression" dxfId="85" priority="88">
      <formula>$H147&lt;&gt;"-"</formula>
    </cfRule>
  </conditionalFormatting>
  <conditionalFormatting sqref="E147">
    <cfRule type="expression" dxfId="84" priority="87">
      <formula>$I147&lt;&gt;"-"</formula>
    </cfRule>
  </conditionalFormatting>
  <conditionalFormatting sqref="B148">
    <cfRule type="expression" dxfId="83" priority="86">
      <formula>AD148&lt;&gt;""</formula>
    </cfRule>
  </conditionalFormatting>
  <conditionalFormatting sqref="Z148">
    <cfRule type="cellIs" dxfId="82" priority="84" operator="greaterThan">
      <formula>0</formula>
    </cfRule>
    <cfRule type="cellIs" dxfId="81" priority="85" operator="lessThan">
      <formula>0</formula>
    </cfRule>
  </conditionalFormatting>
  <conditionalFormatting sqref="S148">
    <cfRule type="cellIs" dxfId="80" priority="83" operator="lessThan">
      <formula>0</formula>
    </cfRule>
  </conditionalFormatting>
  <conditionalFormatting sqref="P148">
    <cfRule type="cellIs" dxfId="79" priority="81" operator="equal">
      <formula>AS_DURATION_EFFORT</formula>
    </cfRule>
    <cfRule type="cellIs" dxfId="78" priority="82" operator="equal">
      <formula>AS_DEV_EFFORT</formula>
    </cfRule>
  </conditionalFormatting>
  <conditionalFormatting sqref="F148">
    <cfRule type="expression" dxfId="77" priority="80">
      <formula>$K148&lt;&gt;""</formula>
    </cfRule>
  </conditionalFormatting>
  <conditionalFormatting sqref="C148">
    <cfRule type="expression" dxfId="76" priority="79">
      <formula>$G148&lt;&gt;"-"</formula>
    </cfRule>
  </conditionalFormatting>
  <conditionalFormatting sqref="D148">
    <cfRule type="expression" dxfId="75" priority="78">
      <formula>$H148&lt;&gt;"-"</formula>
    </cfRule>
  </conditionalFormatting>
  <conditionalFormatting sqref="E148">
    <cfRule type="expression" dxfId="74" priority="77">
      <formula>$I148&lt;&gt;"-"</formula>
    </cfRule>
  </conditionalFormatting>
  <conditionalFormatting sqref="B149">
    <cfRule type="expression" dxfId="73" priority="76">
      <formula>AD149&lt;&gt;""</formula>
    </cfRule>
  </conditionalFormatting>
  <conditionalFormatting sqref="Z149">
    <cfRule type="cellIs" dxfId="72" priority="74" operator="greaterThan">
      <formula>0</formula>
    </cfRule>
    <cfRule type="cellIs" dxfId="71" priority="75" operator="lessThan">
      <formula>0</formula>
    </cfRule>
  </conditionalFormatting>
  <conditionalFormatting sqref="S149">
    <cfRule type="cellIs" dxfId="70" priority="73" operator="lessThan">
      <formula>0</formula>
    </cfRule>
  </conditionalFormatting>
  <conditionalFormatting sqref="P149">
    <cfRule type="cellIs" dxfId="69" priority="71" operator="equal">
      <formula>AS_DURATION_EFFORT</formula>
    </cfRule>
    <cfRule type="cellIs" dxfId="68" priority="72" operator="equal">
      <formula>AS_DEV_EFFORT</formula>
    </cfRule>
  </conditionalFormatting>
  <conditionalFormatting sqref="F149">
    <cfRule type="expression" dxfId="67" priority="70">
      <formula>$K149&lt;&gt;""</formula>
    </cfRule>
  </conditionalFormatting>
  <conditionalFormatting sqref="C149">
    <cfRule type="expression" dxfId="66" priority="69">
      <formula>$G149&lt;&gt;"-"</formula>
    </cfRule>
  </conditionalFormatting>
  <conditionalFormatting sqref="D149">
    <cfRule type="expression" dxfId="65" priority="68">
      <formula>$H149&lt;&gt;"-"</formula>
    </cfRule>
  </conditionalFormatting>
  <conditionalFormatting sqref="E149">
    <cfRule type="expression" dxfId="64" priority="67">
      <formula>$I149&lt;&gt;"-"</formula>
    </cfRule>
  </conditionalFormatting>
  <conditionalFormatting sqref="B140">
    <cfRule type="expression" dxfId="63" priority="63">
      <formula>AD140&lt;&gt;""</formula>
    </cfRule>
  </conditionalFormatting>
  <conditionalFormatting sqref="Z140">
    <cfRule type="cellIs" dxfId="62" priority="61" operator="greaterThan">
      <formula>0</formula>
    </cfRule>
    <cfRule type="cellIs" dxfId="61" priority="62" operator="lessThan">
      <formula>0</formula>
    </cfRule>
  </conditionalFormatting>
  <conditionalFormatting sqref="S140">
    <cfRule type="cellIs" dxfId="60" priority="60" operator="lessThan">
      <formula>0</formula>
    </cfRule>
  </conditionalFormatting>
  <conditionalFormatting sqref="T138:T139">
    <cfRule type="expression" dxfId="59" priority="64">
      <formula>#REF!="Yes"</formula>
    </cfRule>
  </conditionalFormatting>
  <conditionalFormatting sqref="P140">
    <cfRule type="cellIs" dxfId="58" priority="58" operator="equal">
      <formula>AS_DURATION_EFFORT</formula>
    </cfRule>
    <cfRule type="cellIs" dxfId="57" priority="59" operator="equal">
      <formula>AS_DEV_EFFORT</formula>
    </cfRule>
  </conditionalFormatting>
  <conditionalFormatting sqref="B138:B139">
    <cfRule type="expression" dxfId="56" priority="57">
      <formula>AD138&lt;&gt;""</formula>
    </cfRule>
  </conditionalFormatting>
  <conditionalFormatting sqref="L140:M140 O140:AC140">
    <cfRule type="expression" dxfId="55" priority="65">
      <formula>AND($G140="Yes", $S$6="Exclude")</formula>
    </cfRule>
    <cfRule type="expression" dxfId="54" priority="66">
      <formula>$J140="Yes"</formula>
    </cfRule>
  </conditionalFormatting>
  <conditionalFormatting sqref="F140">
    <cfRule type="expression" dxfId="53" priority="56">
      <formula>$K140&lt;&gt;""</formula>
    </cfRule>
  </conditionalFormatting>
  <conditionalFormatting sqref="C140">
    <cfRule type="expression" dxfId="52" priority="55">
      <formula>$G140&lt;&gt;"-"</formula>
    </cfRule>
  </conditionalFormatting>
  <conditionalFormatting sqref="D140">
    <cfRule type="expression" dxfId="51" priority="54">
      <formula>$H140&lt;&gt;"-"</formula>
    </cfRule>
  </conditionalFormatting>
  <conditionalFormatting sqref="E140">
    <cfRule type="expression" dxfId="50" priority="53">
      <formula>$I140&lt;&gt;"-"</formula>
    </cfRule>
  </conditionalFormatting>
  <conditionalFormatting sqref="S137">
    <cfRule type="expression" dxfId="49" priority="52">
      <formula>#REF!="Yes"</formula>
    </cfRule>
  </conditionalFormatting>
  <conditionalFormatting sqref="B137">
    <cfRule type="expression" dxfId="48" priority="51">
      <formula>AD137&lt;&gt;""</formula>
    </cfRule>
  </conditionalFormatting>
  <conditionalFormatting sqref="B141">
    <cfRule type="expression" dxfId="47" priority="48">
      <formula>AD141&lt;&gt;""</formula>
    </cfRule>
  </conditionalFormatting>
  <conditionalFormatting sqref="Z141">
    <cfRule type="cellIs" dxfId="46" priority="46" operator="greaterThan">
      <formula>0</formula>
    </cfRule>
    <cfRule type="cellIs" dxfId="45" priority="47" operator="lessThan">
      <formula>0</formula>
    </cfRule>
  </conditionalFormatting>
  <conditionalFormatting sqref="S141">
    <cfRule type="cellIs" dxfId="44" priority="45" operator="lessThan">
      <formula>0</formula>
    </cfRule>
  </conditionalFormatting>
  <conditionalFormatting sqref="L141:M141 O141 R141:AC141">
    <cfRule type="expression" dxfId="43" priority="49">
      <formula>AND($G141="Yes", $S$6="Exclude")</formula>
    </cfRule>
    <cfRule type="expression" dxfId="42" priority="50">
      <formula>$J141="Yes"</formula>
    </cfRule>
  </conditionalFormatting>
  <conditionalFormatting sqref="F141">
    <cfRule type="expression" dxfId="41" priority="42">
      <formula>$K141&lt;&gt;""</formula>
    </cfRule>
  </conditionalFormatting>
  <conditionalFormatting sqref="C141">
    <cfRule type="expression" dxfId="40" priority="41">
      <formula>$G141&lt;&gt;"-"</formula>
    </cfRule>
  </conditionalFormatting>
  <conditionalFormatting sqref="D141">
    <cfRule type="expression" dxfId="39" priority="40">
      <formula>$H141&lt;&gt;"-"</formula>
    </cfRule>
  </conditionalFormatting>
  <conditionalFormatting sqref="E141">
    <cfRule type="expression" dxfId="38" priority="39">
      <formula>$I141&lt;&gt;"-"</formula>
    </cfRule>
  </conditionalFormatting>
  <conditionalFormatting sqref="N140:N141">
    <cfRule type="expression" dxfId="37" priority="37">
      <formula>AND($G140="Yes", $S$6="Exclude")</formula>
    </cfRule>
    <cfRule type="expression" dxfId="36" priority="38">
      <formula>$J140="Yes"</formula>
    </cfRule>
  </conditionalFormatting>
  <conditionalFormatting sqref="P141:Q141">
    <cfRule type="expression" dxfId="35" priority="35">
      <formula>AND($G141="Yes", $S$6="Exclude")</formula>
    </cfRule>
    <cfRule type="expression" dxfId="34" priority="36">
      <formula>$J141="Yes"</formula>
    </cfRule>
  </conditionalFormatting>
  <conditionalFormatting sqref="P141">
    <cfRule type="cellIs" dxfId="33" priority="33" operator="equal">
      <formula>AS_DURATION_EFFORT</formula>
    </cfRule>
    <cfRule type="cellIs" dxfId="32" priority="34" operator="equal">
      <formula>AS_DEV_EFFORT</formula>
    </cfRule>
  </conditionalFormatting>
  <conditionalFormatting sqref="S143">
    <cfRule type="expression" dxfId="31" priority="32">
      <formula>#REF!="Yes"</formula>
    </cfRule>
  </conditionalFormatting>
  <conditionalFormatting sqref="B143">
    <cfRule type="expression" dxfId="30" priority="31">
      <formula>AD143&lt;&gt;""</formula>
    </cfRule>
  </conditionalFormatting>
  <conditionalFormatting sqref="O154:Q154">
    <cfRule type="expression" dxfId="29" priority="29">
      <formula>AND($G154="Yes", $S$6="Exclude")</formula>
    </cfRule>
    <cfRule type="expression" dxfId="28" priority="30">
      <formula>$J154="Yes"</formula>
    </cfRule>
  </conditionalFormatting>
  <conditionalFormatting sqref="P154">
    <cfRule type="cellIs" dxfId="27" priority="27" operator="equal">
      <formula>AS_DURATION_EFFORT</formula>
    </cfRule>
    <cfRule type="cellIs" dxfId="26" priority="28" operator="equal">
      <formula>AS_DEV_EFFORT</formula>
    </cfRule>
  </conditionalFormatting>
  <conditionalFormatting sqref="AB159">
    <cfRule type="expression" dxfId="25" priority="25">
      <formula>AND($G159="Yes", $S$6="Exclude")</formula>
    </cfRule>
    <cfRule type="expression" dxfId="24" priority="26">
      <formula>$J159="Yes"</formula>
    </cfRule>
  </conditionalFormatting>
  <conditionalFormatting sqref="B169">
    <cfRule type="expression" dxfId="23" priority="22">
      <formula>AD169&lt;&gt;""</formula>
    </cfRule>
  </conditionalFormatting>
  <conditionalFormatting sqref="Z169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69">
    <cfRule type="cellIs" dxfId="20" priority="19" operator="lessThan">
      <formula>0</formula>
    </cfRule>
  </conditionalFormatting>
  <conditionalFormatting sqref="P169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69:AC169">
    <cfRule type="expression" dxfId="17" priority="23">
      <formula>AND($G169="Yes", $S$6="Exclude")</formula>
    </cfRule>
    <cfRule type="expression" dxfId="16" priority="24">
      <formula>$J169="Yes"</formula>
    </cfRule>
  </conditionalFormatting>
  <conditionalFormatting sqref="F169">
    <cfRule type="expression" dxfId="15" priority="16">
      <formula>$K169&lt;&gt;""</formula>
    </cfRule>
  </conditionalFormatting>
  <conditionalFormatting sqref="C169">
    <cfRule type="expression" dxfId="14" priority="15">
      <formula>$G169&lt;&gt;"-"</formula>
    </cfRule>
  </conditionalFormatting>
  <conditionalFormatting sqref="D169">
    <cfRule type="expression" dxfId="13" priority="14">
      <formula>$H169&lt;&gt;"-"</formula>
    </cfRule>
  </conditionalFormatting>
  <conditionalFormatting sqref="E169">
    <cfRule type="expression" dxfId="12" priority="13">
      <formula>$I169&lt;&gt;"-"</formula>
    </cfRule>
  </conditionalFormatting>
  <conditionalFormatting sqref="B170">
    <cfRule type="expression" dxfId="11" priority="10">
      <formula>AD170&lt;&gt;""</formula>
    </cfRule>
  </conditionalFormatting>
  <conditionalFormatting sqref="Z170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70">
    <cfRule type="cellIs" dxfId="8" priority="7" operator="lessThan">
      <formula>0</formula>
    </cfRule>
  </conditionalFormatting>
  <conditionalFormatting sqref="P170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70:AC170">
    <cfRule type="expression" dxfId="5" priority="11">
      <formula>AND($G170="Yes", $S$6="Exclude")</formula>
    </cfRule>
    <cfRule type="expression" dxfId="4" priority="12">
      <formula>$J170="Yes"</formula>
    </cfRule>
  </conditionalFormatting>
  <conditionalFormatting sqref="F170">
    <cfRule type="expression" dxfId="3" priority="4">
      <formula>$K170&lt;&gt;""</formula>
    </cfRule>
  </conditionalFormatting>
  <conditionalFormatting sqref="C170">
    <cfRule type="expression" dxfId="2" priority="3">
      <formula>$G170&lt;&gt;"-"</formula>
    </cfRule>
  </conditionalFormatting>
  <conditionalFormatting sqref="D170">
    <cfRule type="expression" dxfId="1" priority="2">
      <formula>$H170&lt;&gt;"-"</formula>
    </cfRule>
  </conditionalFormatting>
  <conditionalFormatting sqref="E170">
    <cfRule type="expression" dxfId="0" priority="1">
      <formula>$I170&lt;&gt;"-"</formula>
    </cfRule>
  </conditionalFormatting>
  <dataValidations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258" xr:uid="{00000000-0002-0000-0100-000002000000}">
      <formula1>YES_NO_LIST</formula1>
    </dataValidation>
    <dataValidation type="list" allowBlank="1" showInputMessage="1" showErrorMessage="1" sqref="O255" xr:uid="{00000000-0002-0000-0100-000003000000}">
      <formula1>PLATFORMS_LIST</formula1>
    </dataValidation>
    <dataValidation type="list" allowBlank="1" showInputMessage="1" showErrorMessage="1" sqref="O256" xr:uid="{00000000-0002-0000-0100-000004000000}">
      <formula1>PROJECT_TYPES_LIST</formula1>
    </dataValidation>
    <dataValidation type="list" allowBlank="1" showInputMessage="1" showErrorMessage="1" sqref="O260" xr:uid="{00000000-0002-0000-0100-000005000000}">
      <formula1>CURRENCIES_LIST</formula1>
    </dataValidation>
    <dataValidation type="list" allowBlank="1" showInputMessage="1" showErrorMessage="1" sqref="O259" xr:uid="{00000000-0002-0000-0100-000006000000}">
      <formula1>REGIONS_LIST</formula1>
    </dataValidation>
    <dataValidation type="list" showInputMessage="1" showErrorMessage="1" sqref="G16:G18 G22:G24 G28:G31 G35:G39 G43:G45 G49:G54 G58:G62 G69:G70 G74 G78:G81 G85:G92 G99:G102 G106:G110 G115:G116 G121:G122 G126 G131:G132 G140:G141 G146:G149 G153:G154 G158:G161 G165:G170 G177:G178 G182 G186 G190:G193 G200 G376 J16:J18 J22:J24 J28:J31 J35:J39 J43:J45 J49:J54 J58:J62 J69:J70 J74 J78:J81 J85:J92 J99:J102 J106:J110 J115:J116 J121:J122 J126 J131:J132 J140:J141 J146:J149 J153:J154 J158:J161 J165:J170 J177:J178 J182 J186 J190:J193 J200 J376" xr:uid="{00000000-0002-0000-0100-000007000000}">
      <formula1>YES_NO_LIST</formula1>
    </dataValidation>
    <dataValidation type="list" showInputMessage="1" showErrorMessage="1" sqref="I16:I18 I22:I24 I28:I31 I35:I39 I43:I45 I49:I54 I58:I62 I69:I70 I74 I78:I81 I85:I92 I99:I102 I106:I110 I115:I116 I121:I122 I126 I131:I132 I140:I141 I146:I149 I153:I154 I158:I161 I165:I170 I177:I178 I182 I186 I190:I193 I200 I376" xr:uid="{00000000-0002-0000-0100-000008000000}">
      <formula1>EXTRAS_LIST</formula1>
    </dataValidation>
    <dataValidation type="list" showInputMessage="1" showErrorMessage="1" sqref="H16:H18 H22:H24 H28:H31 H35:H39 H43:H45 H49:H54 H58:H62 H69:H70 H74 H78:H81 H85:H92 H99:H102 H106:H110 H115:H116 H121:H122 H126 H131:H132 H140:H141 H146:H149 H153:H154 H158:H161 H165:H170 H177:H178 H182 H186 H190:H193 H200 H376" xr:uid="{00000000-0002-0000-0100-000009000000}">
      <formula1>BUFFER_TYPES_LIST</formula1>
    </dataValidation>
    <dataValidation type="list" showInputMessage="1" showErrorMessage="1" sqref="S210" xr:uid="{00000000-0002-0000-0100-00000A000000}">
      <formula1>"Default, Extended"</formula1>
    </dataValidation>
  </dataValidations>
  <hyperlinks>
    <hyperlink ref="S9" location="Estimation!V9" tooltip="Copy compact view of WBS as image" display="Compact" xr:uid="{00000000-0004-0000-0100-000000000000}"/>
    <hyperlink ref="T9" location="Estimation!U9" tooltip="Copy full WBS content as image" display="Full" xr:uid="{00000000-0004-0000-0100-000001000000}"/>
    <hyperlink ref="AB9" location="Help!A1" tooltip="Know what, how and why around most frequently asked questions." display="Read Help for more details." xr:uid="{00000000-0004-0000-0100-000002000000}"/>
    <hyperlink ref="C10" location="Estimation!C10" tooltip="Open" display="→" xr:uid="{00000000-0004-0000-0100-000003000000}"/>
    <hyperlink ref="C11" location="Estimation!C11" tooltip="Close" display="←" xr:uid="{00000000-0004-0000-0100-000004000000}"/>
    <hyperlink ref="C12" location="Estimation!C12" tooltip="Collapse All" display="−" xr:uid="{00000000-0004-0000-0100-000005000000}"/>
    <hyperlink ref="F12" location="Estimation!F12" tooltip="Expand All" display="Estimation!F12" xr:uid="{00000000-0004-0000-0100-000006000000}"/>
    <hyperlink ref="T210" location="Estimation!T71" tooltip="Refresh FBS" display="here" xr:uid="{00000000-0004-0000-0100-000007000000}"/>
    <hyperlink ref="T246" location="Schedule!A1" display="click here." xr:uid="{00000000-0004-0000-0100-000008000000}"/>
  </hyperlinks>
  <pageMargins left="0.7" right="0.7" top="0.75" bottom="0.75" header="0.3" footer="0.3"/>
  <pageSetup scale="58" orientation="landscape" horizontalDpi="4294967295" verticalDpi="4294967295"/>
  <headerFooter>
    <oddFooter>&amp;L_x000D_&amp;1#&amp;"Arial"&amp;7&amp;KDAD4CE Confidential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3.AddRowsBefore">
                <anchor moveWithCells="1">
                  <from>
                    <xdr:col>11</xdr:col>
                    <xdr:colOff>38100</xdr:colOff>
                    <xdr:row>8</xdr:row>
                    <xdr:rowOff>25400</xdr:rowOff>
                  </from>
                  <to>
                    <xdr:col>13</xdr:col>
                    <xdr:colOff>152400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3.AddRows">
                <anchor moveWithCells="1">
                  <from>
                    <xdr:col>13</xdr:col>
                    <xdr:colOff>254000</xdr:colOff>
                    <xdr:row>8</xdr:row>
                    <xdr:rowOff>25400</xdr:rowOff>
                  </from>
                  <to>
                    <xdr:col>13</xdr:col>
                    <xdr:colOff>1638300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3.RemoveRows">
                <anchor moveWithCells="1">
                  <from>
                    <xdr:col>13</xdr:col>
                    <xdr:colOff>3200400</xdr:colOff>
                    <xdr:row>8</xdr:row>
                    <xdr:rowOff>25400</xdr:rowOff>
                  </from>
                  <to>
                    <xdr:col>14</xdr:col>
                    <xdr:colOff>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3.MoveRangeUp">
                <anchor moveWithCells="1">
                  <from>
                    <xdr:col>13</xdr:col>
                    <xdr:colOff>4673600</xdr:colOff>
                    <xdr:row>8</xdr:row>
                    <xdr:rowOff>25400</xdr:rowOff>
                  </from>
                  <to>
                    <xdr:col>14</xdr:col>
                    <xdr:colOff>381000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eet3.MoveRangeDown">
                <anchor moveWithCells="1">
                  <from>
                    <xdr:col>14</xdr:col>
                    <xdr:colOff>381000</xdr:colOff>
                    <xdr:row>8</xdr:row>
                    <xdr:rowOff>25400</xdr:rowOff>
                  </from>
                  <to>
                    <xdr:col>15</xdr:col>
                    <xdr:colOff>25400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1714500</xdr:colOff>
                    <xdr:row>8</xdr:row>
                    <xdr:rowOff>25400</xdr:rowOff>
                  </from>
                  <to>
                    <xdr:col>13</xdr:col>
                    <xdr:colOff>3111500</xdr:colOff>
                    <xdr:row>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F14" sqref="F14"/>
    </sheetView>
  </sheetViews>
  <sheetFormatPr baseColWidth="10" defaultColWidth="3.83203125" defaultRowHeight="15" x14ac:dyDescent="0.2"/>
  <cols>
    <col min="2" max="2" width="38.5" customWidth="1"/>
    <col min="3" max="4" width="3.83203125" customWidth="1"/>
  </cols>
  <sheetData>
    <row r="1" spans="2:38" ht="15" customHeight="1" x14ac:dyDescent="0.2">
      <c r="B1" s="269" t="s">
        <v>439</v>
      </c>
      <c r="C1" s="334">
        <f>START_DATE</f>
        <v>46174</v>
      </c>
      <c r="D1" s="294"/>
      <c r="E1" s="294"/>
      <c r="F1" s="294"/>
      <c r="I1" s="270" t="s">
        <v>440</v>
      </c>
      <c r="L1" s="335">
        <v>46395</v>
      </c>
      <c r="M1" s="294"/>
      <c r="N1" s="294"/>
      <c r="O1" s="2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</row>
    <row r="2" spans="2:38" x14ac:dyDescent="0.2">
      <c r="B2" s="271" t="s">
        <v>441</v>
      </c>
      <c r="C2" s="272" t="s">
        <v>442</v>
      </c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</row>
    <row r="3" spans="2:38" x14ac:dyDescent="0.2">
      <c r="B3" s="269" t="s">
        <v>443</v>
      </c>
      <c r="C3" s="333">
        <v>1</v>
      </c>
      <c r="D3" s="294"/>
      <c r="E3" s="294"/>
      <c r="F3" s="329"/>
      <c r="G3" s="332">
        <f>C3+1</f>
        <v>2</v>
      </c>
      <c r="H3" s="294"/>
      <c r="I3" s="294"/>
      <c r="J3" s="294"/>
      <c r="K3" s="332">
        <f>G3+1</f>
        <v>3</v>
      </c>
      <c r="L3" s="294"/>
      <c r="M3" s="294"/>
      <c r="N3" s="294"/>
      <c r="O3" s="332">
        <f>K3+1</f>
        <v>4</v>
      </c>
      <c r="P3" s="294"/>
      <c r="Q3" s="294"/>
      <c r="R3" s="294"/>
      <c r="S3" s="332">
        <f>O3+1</f>
        <v>5</v>
      </c>
      <c r="T3" s="294"/>
      <c r="U3" s="294"/>
      <c r="V3" s="294"/>
      <c r="W3" s="332">
        <f>S3+1</f>
        <v>6</v>
      </c>
      <c r="X3" s="294"/>
      <c r="Y3" s="294"/>
      <c r="Z3" s="294"/>
      <c r="AA3" s="332">
        <f>W3+1</f>
        <v>7</v>
      </c>
      <c r="AB3" s="294"/>
      <c r="AC3" s="294"/>
      <c r="AD3" s="294"/>
      <c r="AE3" s="332">
        <f>AA3+1</f>
        <v>8</v>
      </c>
      <c r="AF3" s="294"/>
      <c r="AG3" s="294"/>
      <c r="AH3" s="294"/>
      <c r="AI3" s="332">
        <f>AE3+1</f>
        <v>9</v>
      </c>
      <c r="AJ3" s="294"/>
      <c r="AK3" s="294"/>
      <c r="AL3" s="294"/>
    </row>
    <row r="4" spans="2:38" ht="45.75" customHeight="1" x14ac:dyDescent="0.2">
      <c r="B4" s="273" t="s">
        <v>344</v>
      </c>
      <c r="C4" s="274">
        <f>START_DATE</f>
        <v>46174</v>
      </c>
      <c r="D4" s="275">
        <f t="shared" ref="D4:AL4" si="0">WORKDAY(C4,5)</f>
        <v>46181</v>
      </c>
      <c r="E4" s="275">
        <f t="shared" si="0"/>
        <v>46188</v>
      </c>
      <c r="F4" s="276">
        <f t="shared" si="0"/>
        <v>46195</v>
      </c>
      <c r="G4" s="274">
        <f t="shared" si="0"/>
        <v>46202</v>
      </c>
      <c r="H4" s="275">
        <f t="shared" si="0"/>
        <v>46209</v>
      </c>
      <c r="I4" s="275">
        <f t="shared" si="0"/>
        <v>46216</v>
      </c>
      <c r="J4" s="275">
        <f t="shared" si="0"/>
        <v>46223</v>
      </c>
      <c r="K4" s="274">
        <f t="shared" si="0"/>
        <v>46230</v>
      </c>
      <c r="L4" s="275">
        <f t="shared" si="0"/>
        <v>46237</v>
      </c>
      <c r="M4" s="275">
        <f t="shared" si="0"/>
        <v>46244</v>
      </c>
      <c r="N4" s="275">
        <f t="shared" si="0"/>
        <v>46251</v>
      </c>
      <c r="O4" s="274">
        <f t="shared" si="0"/>
        <v>46258</v>
      </c>
      <c r="P4" s="275">
        <f t="shared" si="0"/>
        <v>46265</v>
      </c>
      <c r="Q4" s="275">
        <f t="shared" si="0"/>
        <v>46272</v>
      </c>
      <c r="R4" s="275">
        <f t="shared" si="0"/>
        <v>46279</v>
      </c>
      <c r="S4" s="274">
        <f t="shared" si="0"/>
        <v>46286</v>
      </c>
      <c r="T4" s="275">
        <f t="shared" si="0"/>
        <v>46293</v>
      </c>
      <c r="U4" s="275">
        <f t="shared" si="0"/>
        <v>46300</v>
      </c>
      <c r="V4" s="275">
        <f t="shared" si="0"/>
        <v>46307</v>
      </c>
      <c r="W4" s="274">
        <f t="shared" si="0"/>
        <v>46314</v>
      </c>
      <c r="X4" s="275">
        <f t="shared" si="0"/>
        <v>46321</v>
      </c>
      <c r="Y4" s="275">
        <f t="shared" si="0"/>
        <v>46328</v>
      </c>
      <c r="Z4" s="275">
        <f t="shared" si="0"/>
        <v>46335</v>
      </c>
      <c r="AA4" s="274">
        <f t="shared" si="0"/>
        <v>46342</v>
      </c>
      <c r="AB4" s="275">
        <f t="shared" si="0"/>
        <v>46349</v>
      </c>
      <c r="AC4" s="275">
        <f t="shared" si="0"/>
        <v>46356</v>
      </c>
      <c r="AD4" s="275">
        <f t="shared" si="0"/>
        <v>46363</v>
      </c>
      <c r="AE4" s="274">
        <f t="shared" si="0"/>
        <v>46370</v>
      </c>
      <c r="AF4" s="275">
        <f t="shared" si="0"/>
        <v>46377</v>
      </c>
      <c r="AG4" s="275">
        <f t="shared" si="0"/>
        <v>46384</v>
      </c>
      <c r="AH4" s="275">
        <f t="shared" si="0"/>
        <v>46391</v>
      </c>
      <c r="AI4" s="274">
        <f t="shared" si="0"/>
        <v>46398</v>
      </c>
      <c r="AJ4" s="275">
        <f t="shared" si="0"/>
        <v>46405</v>
      </c>
      <c r="AK4" s="275">
        <f t="shared" si="0"/>
        <v>46412</v>
      </c>
      <c r="AL4" s="275">
        <f t="shared" si="0"/>
        <v>46419</v>
      </c>
    </row>
    <row r="5" spans="2:38" x14ac:dyDescent="0.2">
      <c r="B5" s="277" t="s">
        <v>444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</row>
    <row r="6" spans="2:38" x14ac:dyDescent="0.2">
      <c r="B6" s="278" t="str">
        <f>Estimation!N237</f>
        <v>Discovery / Requirement Analysis</v>
      </c>
      <c r="C6" s="89"/>
      <c r="D6" s="89"/>
      <c r="E6" s="89"/>
    </row>
    <row r="7" spans="2:38" x14ac:dyDescent="0.2">
      <c r="B7" s="278" t="str">
        <f>Estimation!N238</f>
        <v>System Design, Framework and Test Cases</v>
      </c>
      <c r="E7" s="90"/>
      <c r="F7" s="90"/>
      <c r="G7" s="90"/>
      <c r="H7" s="90"/>
      <c r="I7" s="90"/>
    </row>
    <row r="8" spans="2:38" x14ac:dyDescent="0.2">
      <c r="B8" s="278" t="str">
        <f>Estimation!N239</f>
        <v>Development and Unit Testing</v>
      </c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</row>
    <row r="9" spans="2:38" x14ac:dyDescent="0.2">
      <c r="B9" s="278" t="str">
        <f>Estimation!N240</f>
        <v>System Testing and Stabilization</v>
      </c>
      <c r="Q9" s="92"/>
      <c r="R9" s="92"/>
      <c r="S9" s="92"/>
      <c r="T9" s="92"/>
      <c r="U9" s="92"/>
      <c r="V9" s="92"/>
      <c r="W9" s="92"/>
      <c r="X9" s="92"/>
    </row>
    <row r="10" spans="2:38" x14ac:dyDescent="0.2">
      <c r="B10" s="278" t="str">
        <f>Estimation!N241</f>
        <v>Deployment, UAT and Documentation</v>
      </c>
      <c r="W10" s="93"/>
      <c r="X10" s="93"/>
      <c r="Y10" s="93"/>
      <c r="Z10" s="93"/>
      <c r="AA10" s="93"/>
    </row>
    <row r="11" spans="2:38" x14ac:dyDescent="0.2">
      <c r="B11" s="278" t="str">
        <f>Estimation!N242</f>
        <v>Others</v>
      </c>
      <c r="AA11" s="74"/>
      <c r="AB11" s="74"/>
      <c r="AC11" s="74"/>
      <c r="AD11" s="74"/>
      <c r="AE11" s="74"/>
      <c r="AF11" s="74"/>
      <c r="AG11" s="74"/>
      <c r="AH11" s="74"/>
    </row>
    <row r="12" spans="2:38" x14ac:dyDescent="0.2">
      <c r="B12" s="277" t="s">
        <v>445</v>
      </c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</row>
    <row r="13" spans="2:38" x14ac:dyDescent="0.2">
      <c r="B13" s="278" t="s">
        <v>327</v>
      </c>
      <c r="C13" s="279">
        <v>2</v>
      </c>
      <c r="D13" s="279">
        <v>2</v>
      </c>
      <c r="E13" s="279">
        <v>2</v>
      </c>
      <c r="F13" s="279">
        <v>2</v>
      </c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79"/>
      <c r="S13" s="279"/>
      <c r="T13" s="279"/>
      <c r="U13" s="279"/>
      <c r="V13" s="279"/>
      <c r="W13" s="279"/>
      <c r="X13" s="279"/>
      <c r="Y13" s="279"/>
      <c r="Z13" s="279"/>
      <c r="AA13" s="279"/>
      <c r="AB13" s="279"/>
      <c r="AC13" s="279"/>
      <c r="AD13" s="279"/>
      <c r="AE13" s="279"/>
      <c r="AF13" s="279"/>
      <c r="AG13" s="279"/>
      <c r="AH13" s="279"/>
      <c r="AI13" s="279"/>
      <c r="AJ13" s="279"/>
      <c r="AK13" s="279"/>
      <c r="AL13" s="279"/>
    </row>
    <row r="14" spans="2:38" x14ac:dyDescent="0.2">
      <c r="B14" s="278" t="s">
        <v>328</v>
      </c>
      <c r="C14" s="279"/>
      <c r="D14" s="279"/>
      <c r="E14" s="279"/>
      <c r="F14" s="279">
        <v>3</v>
      </c>
      <c r="G14" s="279">
        <v>3</v>
      </c>
      <c r="H14" s="279">
        <v>3</v>
      </c>
      <c r="I14" s="279">
        <v>3</v>
      </c>
      <c r="J14" s="279">
        <v>3</v>
      </c>
      <c r="K14" s="279"/>
      <c r="L14" s="279"/>
      <c r="M14" s="279"/>
      <c r="N14" s="279"/>
      <c r="O14" s="279"/>
      <c r="P14" s="279"/>
      <c r="Q14" s="279"/>
      <c r="R14" s="279">
        <v>1</v>
      </c>
      <c r="S14" s="279">
        <v>1</v>
      </c>
      <c r="T14" s="279">
        <v>1</v>
      </c>
      <c r="U14" s="279">
        <v>1</v>
      </c>
      <c r="V14" s="279">
        <v>1</v>
      </c>
      <c r="W14" s="279">
        <v>1</v>
      </c>
      <c r="X14" s="279">
        <v>1</v>
      </c>
      <c r="Y14" s="279">
        <v>1</v>
      </c>
      <c r="Z14" s="279">
        <v>1</v>
      </c>
      <c r="AA14" s="279">
        <v>1</v>
      </c>
      <c r="AB14" s="279">
        <v>1</v>
      </c>
      <c r="AC14" s="279"/>
      <c r="AD14" s="279"/>
      <c r="AE14" s="279"/>
      <c r="AF14" s="279"/>
      <c r="AG14" s="279"/>
      <c r="AH14" s="279"/>
      <c r="AI14" s="279"/>
      <c r="AJ14" s="279"/>
      <c r="AK14" s="279"/>
      <c r="AL14" s="279"/>
    </row>
    <row r="15" spans="2:38" x14ac:dyDescent="0.2">
      <c r="B15" s="278" t="s">
        <v>329</v>
      </c>
      <c r="C15" s="279">
        <v>1</v>
      </c>
      <c r="D15" s="279">
        <v>1</v>
      </c>
      <c r="E15" s="279">
        <v>1</v>
      </c>
      <c r="F15" s="279">
        <v>1</v>
      </c>
      <c r="G15" s="279">
        <v>1</v>
      </c>
      <c r="H15" s="279">
        <v>1</v>
      </c>
      <c r="I15" s="279">
        <v>1</v>
      </c>
      <c r="J15" s="279">
        <v>1</v>
      </c>
      <c r="K15" s="279">
        <v>1</v>
      </c>
      <c r="L15" s="279">
        <v>1</v>
      </c>
      <c r="M15" s="279">
        <v>1</v>
      </c>
      <c r="N15" s="279">
        <v>1</v>
      </c>
      <c r="O15" s="279">
        <v>1</v>
      </c>
      <c r="P15" s="279">
        <v>1</v>
      </c>
      <c r="Q15" s="279">
        <v>1</v>
      </c>
      <c r="R15" s="279">
        <v>1</v>
      </c>
      <c r="S15" s="279">
        <v>1</v>
      </c>
      <c r="T15" s="279">
        <v>1</v>
      </c>
      <c r="U15" s="279">
        <v>1</v>
      </c>
      <c r="V15" s="279">
        <v>1</v>
      </c>
      <c r="W15" s="279">
        <v>1</v>
      </c>
      <c r="X15" s="279">
        <v>1</v>
      </c>
      <c r="Y15" s="279">
        <v>1</v>
      </c>
      <c r="Z15" s="279">
        <v>1</v>
      </c>
      <c r="AA15" s="279">
        <v>1</v>
      </c>
      <c r="AB15" s="279">
        <v>1</v>
      </c>
      <c r="AC15" s="279">
        <v>1</v>
      </c>
      <c r="AD15" s="279">
        <v>1</v>
      </c>
      <c r="AE15" s="279">
        <v>1</v>
      </c>
      <c r="AF15" s="279">
        <v>1</v>
      </c>
      <c r="AG15" s="279">
        <v>1</v>
      </c>
      <c r="AH15" s="279">
        <v>1</v>
      </c>
      <c r="AI15" s="279"/>
      <c r="AJ15" s="279"/>
      <c r="AK15" s="279"/>
      <c r="AL15" s="279"/>
    </row>
    <row r="16" spans="2:38" x14ac:dyDescent="0.2">
      <c r="B16" s="278" t="s">
        <v>330</v>
      </c>
      <c r="C16" s="279"/>
      <c r="D16" s="279"/>
      <c r="E16" s="279"/>
      <c r="F16" s="279"/>
      <c r="G16" s="279"/>
      <c r="H16" s="279"/>
      <c r="I16" s="279">
        <v>2</v>
      </c>
      <c r="J16" s="279">
        <v>2</v>
      </c>
      <c r="K16" s="279">
        <v>2</v>
      </c>
      <c r="L16" s="279">
        <v>2</v>
      </c>
      <c r="M16" s="279">
        <v>2</v>
      </c>
      <c r="N16" s="279">
        <v>2</v>
      </c>
      <c r="O16" s="279">
        <v>2</v>
      </c>
      <c r="P16" s="279">
        <v>2</v>
      </c>
      <c r="Q16" s="279">
        <v>2</v>
      </c>
      <c r="R16" s="279">
        <v>2</v>
      </c>
      <c r="S16" s="279">
        <v>2</v>
      </c>
      <c r="T16" s="279">
        <v>2</v>
      </c>
      <c r="U16" s="279">
        <v>2</v>
      </c>
      <c r="V16" s="279">
        <v>2</v>
      </c>
      <c r="W16" s="279">
        <v>2</v>
      </c>
      <c r="X16" s="279">
        <v>2</v>
      </c>
      <c r="Y16" s="279">
        <v>1</v>
      </c>
      <c r="Z16" s="279">
        <v>1</v>
      </c>
      <c r="AA16" s="279">
        <v>1</v>
      </c>
      <c r="AB16" s="279">
        <v>1</v>
      </c>
      <c r="AC16" s="279"/>
      <c r="AD16" s="279"/>
      <c r="AE16" s="279"/>
      <c r="AF16" s="279"/>
      <c r="AG16" s="279"/>
      <c r="AH16" s="279"/>
      <c r="AI16" s="279"/>
      <c r="AJ16" s="279"/>
      <c r="AK16" s="279"/>
      <c r="AL16" s="279"/>
    </row>
    <row r="17" spans="2:38" x14ac:dyDescent="0.2">
      <c r="B17" s="278" t="s">
        <v>331</v>
      </c>
      <c r="C17" s="279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79">
        <v>1</v>
      </c>
      <c r="S17" s="279">
        <v>1</v>
      </c>
      <c r="T17" s="279">
        <v>1</v>
      </c>
      <c r="U17" s="279">
        <v>1</v>
      </c>
      <c r="V17" s="279">
        <v>1</v>
      </c>
      <c r="W17" s="279">
        <v>1</v>
      </c>
      <c r="X17" s="279">
        <v>1</v>
      </c>
      <c r="Y17" s="279">
        <v>1</v>
      </c>
      <c r="Z17" s="279">
        <v>1</v>
      </c>
      <c r="AA17" s="279">
        <v>1</v>
      </c>
      <c r="AB17" s="279">
        <v>1</v>
      </c>
      <c r="AC17" s="279">
        <v>1</v>
      </c>
      <c r="AD17" s="279">
        <v>1</v>
      </c>
      <c r="AE17" s="279">
        <v>1</v>
      </c>
      <c r="AF17" s="279">
        <v>1</v>
      </c>
      <c r="AG17" s="279">
        <v>1</v>
      </c>
      <c r="AH17" s="279">
        <v>1</v>
      </c>
      <c r="AI17" s="279"/>
      <c r="AJ17" s="279"/>
      <c r="AK17" s="279"/>
      <c r="AL17" s="279"/>
    </row>
    <row r="18" spans="2:38" x14ac:dyDescent="0.2">
      <c r="B18" s="278" t="s">
        <v>332</v>
      </c>
      <c r="C18" s="279"/>
      <c r="D18" s="279"/>
      <c r="E18" s="279"/>
      <c r="F18" s="279">
        <v>1</v>
      </c>
      <c r="G18" s="279">
        <v>1</v>
      </c>
      <c r="H18" s="279">
        <v>1</v>
      </c>
      <c r="I18" s="279">
        <v>1</v>
      </c>
      <c r="J18" s="279">
        <v>1</v>
      </c>
      <c r="K18" s="279"/>
      <c r="L18" s="279"/>
      <c r="M18" s="279"/>
      <c r="N18" s="279"/>
      <c r="O18" s="279"/>
      <c r="P18" s="279"/>
      <c r="Q18" s="279"/>
      <c r="R18" s="279">
        <v>1</v>
      </c>
      <c r="S18" s="279">
        <v>1</v>
      </c>
      <c r="T18" s="279">
        <v>1</v>
      </c>
      <c r="U18" s="279">
        <v>1</v>
      </c>
      <c r="V18" s="279">
        <v>1</v>
      </c>
      <c r="W18" s="279"/>
      <c r="X18" s="279"/>
      <c r="Y18" s="279"/>
      <c r="Z18" s="279"/>
      <c r="AA18" s="279"/>
      <c r="AB18" s="279"/>
      <c r="AC18" s="279"/>
      <c r="AD18" s="279"/>
      <c r="AE18" s="279"/>
      <c r="AF18" s="279"/>
      <c r="AG18" s="279"/>
      <c r="AH18" s="279"/>
      <c r="AI18" s="279"/>
      <c r="AJ18" s="279"/>
      <c r="AK18" s="279"/>
      <c r="AL18" s="279"/>
    </row>
    <row r="19" spans="2:38" x14ac:dyDescent="0.2"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</row>
  </sheetData>
  <mergeCells count="11">
    <mergeCell ref="AA3:AD3"/>
    <mergeCell ref="O3:R3"/>
    <mergeCell ref="AE3:AH3"/>
    <mergeCell ref="AI3:AL3"/>
    <mergeCell ref="C1:F1"/>
    <mergeCell ref="L1:O1"/>
    <mergeCell ref="W3:Z3"/>
    <mergeCell ref="C3:F3"/>
    <mergeCell ref="S3:V3"/>
    <mergeCell ref="G3:J3"/>
    <mergeCell ref="K3:N3"/>
  </mergeCells>
  <pageMargins left="0.7" right="0.7" top="0.75" bottom="0.75" header="0.3" footer="0.3"/>
  <pageSetup scale="72" orientation="landscape" horizontalDpi="4294967295" verticalDpi="4294967295"/>
  <headerFooter>
    <oddFooter>&amp;L_x000D_&amp;1#&amp;"Arial"&amp;7&amp;KDAD4CE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  <headerFooter>
    <oddFooter>&amp;L_x000D_&amp;1#&amp;"Arial"&amp;7&amp;KDAD4CE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5" activePane="bottomLeft" state="frozenSplit"/>
      <selection pane="bottomLeft" activeCell="T142" sqref="T142"/>
    </sheetView>
  </sheetViews>
  <sheetFormatPr baseColWidth="10" defaultColWidth="2.83203125" defaultRowHeight="15" x14ac:dyDescent="0.2"/>
  <cols>
    <col min="1" max="2" width="2.83203125" style="117" customWidth="1"/>
    <col min="3" max="16384" width="2.83203125" style="117"/>
  </cols>
  <sheetData>
    <row r="2" spans="2:58" ht="28.5" customHeight="1" x14ac:dyDescent="0.2">
      <c r="B2" s="280" t="str">
        <f>TEMPLATE_NAME&amp;" "&amp;TEMPLATE_VER&amp;" - HELP"</f>
        <v>AG Estimation Template -  Version 2.0.4 - HELP</v>
      </c>
    </row>
    <row r="4" spans="2:58" x14ac:dyDescent="0.2">
      <c r="B4" s="281" t="s">
        <v>446</v>
      </c>
    </row>
    <row r="5" spans="2:58" x14ac:dyDescent="0.2">
      <c r="B5" s="282" t="s">
        <v>447</v>
      </c>
      <c r="D5" s="281" t="s">
        <v>448</v>
      </c>
    </row>
    <row r="6" spans="2:58" x14ac:dyDescent="0.2">
      <c r="B6" s="282" t="s">
        <v>447</v>
      </c>
      <c r="D6" s="281" t="s">
        <v>449</v>
      </c>
    </row>
    <row r="7" spans="2:58" x14ac:dyDescent="0.2">
      <c r="B7" s="282" t="s">
        <v>447</v>
      </c>
      <c r="D7" s="281" t="s">
        <v>450</v>
      </c>
    </row>
    <row r="8" spans="2:58" x14ac:dyDescent="0.2">
      <c r="B8" s="282" t="s">
        <v>447</v>
      </c>
      <c r="D8" s="281" t="s">
        <v>451</v>
      </c>
    </row>
    <row r="9" spans="2:58" x14ac:dyDescent="0.2">
      <c r="B9" s="282" t="s">
        <v>447</v>
      </c>
      <c r="D9" s="281" t="s">
        <v>452</v>
      </c>
    </row>
    <row r="10" spans="2:58" x14ac:dyDescent="0.2">
      <c r="B10" s="282" t="s">
        <v>447</v>
      </c>
      <c r="D10" s="281" t="s">
        <v>453</v>
      </c>
    </row>
    <row r="11" spans="2:58" x14ac:dyDescent="0.2">
      <c r="B11" s="282" t="s">
        <v>447</v>
      </c>
      <c r="D11" s="281" t="s">
        <v>454</v>
      </c>
    </row>
    <row r="13" spans="2:58" x14ac:dyDescent="0.2">
      <c r="B13" s="337" t="s">
        <v>455</v>
      </c>
      <c r="C13" s="294"/>
      <c r="D13" s="294"/>
      <c r="E13" s="294"/>
      <c r="F13" s="294"/>
      <c r="G13" s="294"/>
      <c r="H13" s="294"/>
      <c r="I13" s="294"/>
      <c r="J13" s="294"/>
      <c r="N13" s="283" t="s">
        <v>456</v>
      </c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284" t="s">
        <v>457</v>
      </c>
      <c r="AW13" s="151"/>
      <c r="AX13" s="283" t="s">
        <v>458</v>
      </c>
      <c r="AY13" s="151"/>
      <c r="AZ13" s="151"/>
      <c r="BA13" s="151"/>
      <c r="BB13" s="151"/>
      <c r="BC13" s="151"/>
      <c r="BD13" s="151"/>
      <c r="BE13" s="151"/>
      <c r="BF13" s="151"/>
    </row>
    <row r="14" spans="2:58" x14ac:dyDescent="0.2">
      <c r="B14" s="294"/>
      <c r="C14" s="294"/>
      <c r="D14" s="294"/>
      <c r="E14" s="294"/>
      <c r="F14" s="294"/>
      <c r="G14" s="294"/>
      <c r="H14" s="294"/>
      <c r="I14" s="294"/>
      <c r="J14" s="294"/>
      <c r="N14" s="283" t="s">
        <v>459</v>
      </c>
      <c r="S14" s="283" t="s">
        <v>460</v>
      </c>
      <c r="AH14" s="284" t="s">
        <v>461</v>
      </c>
    </row>
    <row r="15" spans="2:58" ht="15" customHeight="1" x14ac:dyDescent="0.2">
      <c r="B15" s="152"/>
      <c r="C15" s="152"/>
      <c r="D15" s="152"/>
      <c r="E15" s="152"/>
      <c r="F15" s="152"/>
      <c r="G15" s="152"/>
      <c r="H15" s="152"/>
      <c r="I15" s="152"/>
      <c r="J15" s="152"/>
      <c r="N15" s="153"/>
      <c r="S15" s="153"/>
      <c r="AH15" s="154"/>
    </row>
    <row r="16" spans="2:58" ht="15" customHeight="1" x14ac:dyDescent="0.2">
      <c r="H16" s="336" t="s">
        <v>462</v>
      </c>
      <c r="I16" s="294"/>
      <c r="J16" s="294"/>
      <c r="K16" s="294"/>
      <c r="L16" s="294"/>
      <c r="M16" s="294"/>
      <c r="N16" s="294"/>
      <c r="O16" s="294"/>
      <c r="P16" s="294"/>
      <c r="Q16" s="294"/>
      <c r="R16" s="294"/>
      <c r="S16" s="294"/>
      <c r="T16" s="294"/>
      <c r="U16" s="294"/>
      <c r="V16" s="294"/>
      <c r="AL16" s="336" t="s">
        <v>463</v>
      </c>
      <c r="AM16" s="294"/>
      <c r="AN16" s="294"/>
      <c r="AO16" s="294"/>
      <c r="AP16" s="294"/>
      <c r="AQ16" s="294"/>
      <c r="AR16" s="294"/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</row>
    <row r="17" spans="2:56" ht="15" customHeight="1" x14ac:dyDescent="0.2"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4"/>
      <c r="S17" s="294"/>
      <c r="T17" s="294"/>
      <c r="U17" s="294"/>
      <c r="V17" s="294"/>
      <c r="AL17" s="294"/>
      <c r="AM17" s="294"/>
      <c r="AN17" s="294"/>
      <c r="AO17" s="294"/>
      <c r="AP17" s="294"/>
      <c r="AQ17" s="294"/>
      <c r="AR17" s="294"/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</row>
    <row r="18" spans="2:56" x14ac:dyDescent="0.2">
      <c r="H18" s="281" t="s">
        <v>464</v>
      </c>
      <c r="AL18" s="281" t="s">
        <v>465</v>
      </c>
    </row>
    <row r="19" spans="2:56" x14ac:dyDescent="0.2">
      <c r="H19" s="281" t="s">
        <v>466</v>
      </c>
      <c r="AL19" s="281" t="s">
        <v>467</v>
      </c>
    </row>
    <row r="20" spans="2:56" x14ac:dyDescent="0.2">
      <c r="H20" s="281" t="s">
        <v>468</v>
      </c>
      <c r="AL20" s="281" t="s">
        <v>469</v>
      </c>
    </row>
    <row r="21" spans="2:56" x14ac:dyDescent="0.2">
      <c r="H21" s="281" t="s">
        <v>470</v>
      </c>
    </row>
    <row r="22" spans="2:56" x14ac:dyDescent="0.2">
      <c r="H22" s="281" t="s">
        <v>471</v>
      </c>
      <c r="AL22" s="281" t="s">
        <v>472</v>
      </c>
    </row>
    <row r="23" spans="2:56" x14ac:dyDescent="0.2">
      <c r="H23" s="281" t="s">
        <v>473</v>
      </c>
      <c r="AL23" s="281" t="s">
        <v>474</v>
      </c>
    </row>
    <row r="29" spans="2:56" x14ac:dyDescent="0.2">
      <c r="B29" s="336" t="s">
        <v>475</v>
      </c>
      <c r="C29" s="294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294"/>
    </row>
    <row r="30" spans="2:56" x14ac:dyDescent="0.2">
      <c r="B30" s="294"/>
      <c r="C30" s="294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294"/>
    </row>
    <row r="31" spans="2:56" x14ac:dyDescent="0.2">
      <c r="B31" s="281" t="s">
        <v>476</v>
      </c>
    </row>
    <row r="32" spans="2:56" x14ac:dyDescent="0.2">
      <c r="B32" s="281" t="s">
        <v>477</v>
      </c>
    </row>
    <row r="33" spans="2:31" x14ac:dyDescent="0.2">
      <c r="B33" s="281" t="s">
        <v>478</v>
      </c>
    </row>
    <row r="34" spans="2:31" x14ac:dyDescent="0.2">
      <c r="B34" s="281" t="s">
        <v>479</v>
      </c>
    </row>
    <row r="35" spans="2:31" x14ac:dyDescent="0.2">
      <c r="B35" s="281" t="s">
        <v>480</v>
      </c>
    </row>
    <row r="36" spans="2:31" x14ac:dyDescent="0.2">
      <c r="B36" s="281" t="s">
        <v>481</v>
      </c>
    </row>
    <row r="41" spans="2:31" x14ac:dyDescent="0.2">
      <c r="B41" s="336" t="s">
        <v>482</v>
      </c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</row>
    <row r="42" spans="2:31" x14ac:dyDescent="0.2"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AE42" s="281" t="s">
        <v>483</v>
      </c>
    </row>
    <row r="43" spans="2:31" x14ac:dyDescent="0.2">
      <c r="B43" s="281" t="s">
        <v>484</v>
      </c>
      <c r="AE43" s="281" t="s">
        <v>485</v>
      </c>
    </row>
    <row r="44" spans="2:31" x14ac:dyDescent="0.2">
      <c r="B44" s="281" t="s">
        <v>486</v>
      </c>
      <c r="AE44" s="281" t="s">
        <v>487</v>
      </c>
    </row>
    <row r="46" spans="2:31" x14ac:dyDescent="0.2">
      <c r="B46" s="281" t="s">
        <v>488</v>
      </c>
      <c r="AE46" s="281" t="s">
        <v>489</v>
      </c>
    </row>
    <row r="47" spans="2:31" x14ac:dyDescent="0.2">
      <c r="B47" s="281" t="s">
        <v>490</v>
      </c>
      <c r="AE47" s="281" t="s">
        <v>491</v>
      </c>
    </row>
    <row r="49" spans="2:14" x14ac:dyDescent="0.2">
      <c r="B49" s="336" t="s">
        <v>492</v>
      </c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</row>
    <row r="50" spans="2:14" x14ac:dyDescent="0.2"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</row>
    <row r="51" spans="2:14" x14ac:dyDescent="0.2">
      <c r="B51" s="281" t="s">
        <v>493</v>
      </c>
    </row>
    <row r="52" spans="2:14" x14ac:dyDescent="0.2">
      <c r="B52" s="281" t="s">
        <v>494</v>
      </c>
    </row>
    <row r="54" spans="2:14" x14ac:dyDescent="0.2">
      <c r="B54" s="281" t="s">
        <v>495</v>
      </c>
    </row>
    <row r="55" spans="2:14" x14ac:dyDescent="0.2">
      <c r="B55" s="281" t="s">
        <v>496</v>
      </c>
    </row>
    <row r="56" spans="2:14" x14ac:dyDescent="0.2">
      <c r="B56" s="281" t="s">
        <v>497</v>
      </c>
    </row>
    <row r="57" spans="2:14" x14ac:dyDescent="0.2">
      <c r="B57" s="281" t="s">
        <v>498</v>
      </c>
    </row>
    <row r="71" spans="2:16" x14ac:dyDescent="0.2">
      <c r="B71" s="336" t="s">
        <v>499</v>
      </c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</row>
    <row r="72" spans="2:16" x14ac:dyDescent="0.2">
      <c r="B72" s="294"/>
      <c r="C72" s="294"/>
      <c r="D72" s="294"/>
      <c r="E72" s="294"/>
      <c r="F72" s="294"/>
      <c r="G72" s="294"/>
      <c r="H72" s="294"/>
      <c r="I72" s="294"/>
      <c r="J72" s="294"/>
      <c r="K72" s="294"/>
      <c r="L72" s="294"/>
      <c r="M72" s="294"/>
      <c r="N72" s="294"/>
      <c r="O72" s="294"/>
      <c r="P72" s="294"/>
    </row>
    <row r="73" spans="2:16" x14ac:dyDescent="0.2">
      <c r="B73" s="281" t="s">
        <v>500</v>
      </c>
    </row>
    <row r="74" spans="2:16" x14ac:dyDescent="0.2">
      <c r="B74" s="281" t="s">
        <v>501</v>
      </c>
    </row>
    <row r="75" spans="2:16" x14ac:dyDescent="0.2">
      <c r="B75" s="281" t="s">
        <v>502</v>
      </c>
    </row>
    <row r="79" spans="2:16" x14ac:dyDescent="0.2">
      <c r="B79" s="281" t="s">
        <v>503</v>
      </c>
    </row>
    <row r="80" spans="2:16" x14ac:dyDescent="0.2">
      <c r="B80" s="281" t="s">
        <v>504</v>
      </c>
    </row>
    <row r="83" spans="3:69" ht="15" customHeight="1" x14ac:dyDescent="0.2">
      <c r="BG83" s="285" t="s">
        <v>505</v>
      </c>
      <c r="BH83" s="141"/>
      <c r="BI83" s="141"/>
      <c r="BJ83" s="141"/>
      <c r="BK83" s="141"/>
      <c r="BL83" s="141"/>
      <c r="BM83" s="141"/>
      <c r="BN83" s="141"/>
      <c r="BO83" s="141"/>
      <c r="BP83" s="141"/>
    </row>
    <row r="84" spans="3:69" ht="15" customHeight="1" x14ac:dyDescent="0.2">
      <c r="C84" s="336" t="s">
        <v>506</v>
      </c>
      <c r="D84" s="294"/>
      <c r="E84" s="294"/>
      <c r="F84" s="294"/>
      <c r="G84" s="294"/>
      <c r="H84" s="294"/>
      <c r="I84" s="294"/>
      <c r="J84" s="294"/>
      <c r="K84" s="294"/>
      <c r="L84" s="294"/>
      <c r="M84" s="294"/>
      <c r="N84" s="294"/>
      <c r="O84" s="294"/>
      <c r="P84" s="294"/>
      <c r="Q84" s="294"/>
      <c r="AZ84" s="142"/>
      <c r="BA84" s="142"/>
      <c r="BB84" s="142"/>
      <c r="BC84" s="142"/>
      <c r="BD84" s="142"/>
      <c r="BF84" s="142"/>
      <c r="BG84" s="286" t="s">
        <v>507</v>
      </c>
      <c r="BH84" s="142"/>
      <c r="BI84" s="142"/>
      <c r="BJ84" s="142"/>
    </row>
    <row r="85" spans="3:69" ht="18.5" customHeight="1" x14ac:dyDescent="0.2">
      <c r="C85" s="294"/>
      <c r="D85" s="294"/>
      <c r="E85" s="294"/>
      <c r="F85" s="294"/>
      <c r="G85" s="294"/>
      <c r="H85" s="294"/>
      <c r="I85" s="294"/>
      <c r="J85" s="294"/>
      <c r="K85" s="294"/>
      <c r="L85" s="294"/>
      <c r="M85" s="294"/>
      <c r="N85" s="294"/>
      <c r="O85" s="294"/>
      <c r="P85" s="294"/>
      <c r="Q85" s="294"/>
      <c r="AY85" s="142"/>
      <c r="AZ85" s="142"/>
      <c r="BA85" s="142"/>
      <c r="BB85" s="142"/>
      <c r="BC85" s="142"/>
      <c r="BD85" s="142"/>
      <c r="BF85" s="142"/>
      <c r="BG85" s="286" t="s">
        <v>508</v>
      </c>
      <c r="BH85" s="142"/>
      <c r="BI85" s="142"/>
      <c r="BJ85" s="142"/>
      <c r="BK85" s="141"/>
      <c r="BL85" s="141"/>
      <c r="BM85" s="141"/>
      <c r="BN85" s="141"/>
      <c r="BO85" s="141"/>
      <c r="BP85" s="141"/>
      <c r="BQ85" s="141"/>
    </row>
    <row r="86" spans="3:69" x14ac:dyDescent="0.2">
      <c r="C86" s="281" t="s">
        <v>509</v>
      </c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</row>
    <row r="87" spans="3:69" x14ac:dyDescent="0.2">
      <c r="C87" s="281" t="s">
        <v>510</v>
      </c>
    </row>
    <row r="93" spans="3:69" x14ac:dyDescent="0.2">
      <c r="AE93" s="336" t="s">
        <v>511</v>
      </c>
      <c r="AF93" s="294"/>
      <c r="AG93" s="294"/>
      <c r="AH93" s="294"/>
      <c r="AI93" s="294"/>
      <c r="AJ93" s="294"/>
      <c r="AK93" s="294"/>
      <c r="AL93" s="294"/>
      <c r="AM93" s="294"/>
      <c r="AN93" s="294"/>
      <c r="AO93" s="294"/>
      <c r="AP93" s="294"/>
      <c r="AQ93" s="294"/>
      <c r="AR93" s="294"/>
      <c r="AS93" s="294"/>
      <c r="AT93" s="294"/>
      <c r="AU93" s="294"/>
      <c r="AV93" s="294"/>
      <c r="AW93" s="294"/>
      <c r="AX93" s="294"/>
      <c r="AY93" s="294"/>
    </row>
    <row r="94" spans="3:69" x14ac:dyDescent="0.2">
      <c r="AE94" s="294"/>
      <c r="AF94" s="294"/>
      <c r="AG94" s="294"/>
      <c r="AH94" s="294"/>
      <c r="AI94" s="294"/>
      <c r="AJ94" s="294"/>
      <c r="AK94" s="294"/>
      <c r="AL94" s="294"/>
      <c r="AM94" s="294"/>
      <c r="AN94" s="294"/>
      <c r="AO94" s="294"/>
      <c r="AP94" s="294"/>
      <c r="AQ94" s="294"/>
      <c r="AR94" s="294"/>
      <c r="AS94" s="294"/>
      <c r="AT94" s="294"/>
      <c r="AU94" s="294"/>
      <c r="AV94" s="294"/>
      <c r="AW94" s="294"/>
      <c r="AX94" s="294"/>
      <c r="AY94" s="294"/>
    </row>
    <row r="95" spans="3:69" x14ac:dyDescent="0.2">
      <c r="AE95" s="281" t="s">
        <v>512</v>
      </c>
    </row>
    <row r="96" spans="3:69" ht="15" customHeight="1" x14ac:dyDescent="0.2">
      <c r="AE96" s="281" t="s">
        <v>513</v>
      </c>
    </row>
    <row r="97" spans="3:23" ht="15" customHeight="1" x14ac:dyDescent="0.2"/>
    <row r="104" spans="3:23" x14ac:dyDescent="0.2">
      <c r="C104" s="336" t="s">
        <v>514</v>
      </c>
      <c r="D104" s="294"/>
      <c r="E104" s="294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</row>
    <row r="105" spans="3:23" x14ac:dyDescent="0.2">
      <c r="C105" s="294"/>
      <c r="D105" s="294"/>
      <c r="E105" s="294"/>
      <c r="F105" s="294"/>
      <c r="G105" s="294"/>
      <c r="H105" s="294"/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</row>
    <row r="111" spans="3:23" x14ac:dyDescent="0.2">
      <c r="C111" s="281" t="s">
        <v>515</v>
      </c>
    </row>
    <row r="112" spans="3:23" x14ac:dyDescent="0.2">
      <c r="C112" s="281" t="s">
        <v>516</v>
      </c>
    </row>
    <row r="114" spans="3:52" x14ac:dyDescent="0.2">
      <c r="C114" s="281" t="s">
        <v>517</v>
      </c>
      <c r="AF114" s="336" t="s">
        <v>518</v>
      </c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</row>
    <row r="115" spans="3:52" x14ac:dyDescent="0.2">
      <c r="C115" s="281" t="s">
        <v>519</v>
      </c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</row>
    <row r="116" spans="3:52" x14ac:dyDescent="0.2">
      <c r="AF116" s="281" t="s">
        <v>520</v>
      </c>
    </row>
    <row r="117" spans="3:52" x14ac:dyDescent="0.2">
      <c r="AF117" s="281" t="s">
        <v>521</v>
      </c>
    </row>
    <row r="121" spans="3:52" x14ac:dyDescent="0.2">
      <c r="V121" s="336" t="s">
        <v>522</v>
      </c>
      <c r="W121" s="294"/>
      <c r="X121" s="294"/>
      <c r="Y121" s="294"/>
      <c r="Z121" s="294"/>
      <c r="AA121" s="294"/>
      <c r="AB121" s="294"/>
      <c r="AC121" s="294"/>
      <c r="AD121" s="294"/>
      <c r="AE121" s="294"/>
      <c r="AF121" s="294"/>
      <c r="AG121" s="294"/>
      <c r="AH121" s="294"/>
      <c r="AI121" s="294"/>
      <c r="AJ121" s="294"/>
      <c r="AK121" s="294"/>
      <c r="AL121" s="294"/>
      <c r="AM121" s="294"/>
      <c r="AN121" s="294"/>
      <c r="AO121" s="294"/>
      <c r="AP121" s="294"/>
    </row>
    <row r="122" spans="3:52" x14ac:dyDescent="0.2">
      <c r="V122" s="294"/>
      <c r="W122" s="294"/>
      <c r="X122" s="294"/>
      <c r="Y122" s="294"/>
      <c r="Z122" s="294"/>
      <c r="AA122" s="294"/>
      <c r="AB122" s="294"/>
      <c r="AC122" s="294"/>
      <c r="AD122" s="294"/>
      <c r="AE122" s="294"/>
      <c r="AF122" s="294"/>
      <c r="AG122" s="294"/>
      <c r="AH122" s="294"/>
      <c r="AI122" s="294"/>
      <c r="AJ122" s="294"/>
      <c r="AK122" s="294"/>
      <c r="AL122" s="294"/>
      <c r="AM122" s="294"/>
      <c r="AN122" s="294"/>
      <c r="AO122" s="294"/>
      <c r="AP122" s="294"/>
    </row>
    <row r="123" spans="3:52" x14ac:dyDescent="0.2">
      <c r="S123" s="281" t="s">
        <v>523</v>
      </c>
    </row>
    <row r="124" spans="3:52" x14ac:dyDescent="0.2">
      <c r="S124" s="281" t="s">
        <v>524</v>
      </c>
    </row>
    <row r="126" spans="3:52" x14ac:dyDescent="0.2">
      <c r="S126" s="281" t="s">
        <v>525</v>
      </c>
    </row>
    <row r="130" spans="4:26" x14ac:dyDescent="0.2">
      <c r="F130" s="336" t="s">
        <v>526</v>
      </c>
      <c r="G130" s="294"/>
      <c r="H130" s="294"/>
      <c r="I130" s="294"/>
      <c r="J130" s="294"/>
      <c r="K130" s="294"/>
      <c r="L130" s="294"/>
      <c r="M130" s="294"/>
      <c r="N130" s="294"/>
      <c r="O130" s="294"/>
      <c r="P130" s="294"/>
      <c r="Q130" s="294"/>
      <c r="R130" s="294"/>
      <c r="S130" s="294"/>
      <c r="T130" s="294"/>
      <c r="U130" s="294"/>
      <c r="V130" s="294"/>
      <c r="W130" s="294"/>
      <c r="X130" s="294"/>
      <c r="Y130" s="294"/>
      <c r="Z130" s="294"/>
    </row>
    <row r="131" spans="4:26" x14ac:dyDescent="0.2">
      <c r="F131" s="294"/>
      <c r="G131" s="294"/>
      <c r="H131" s="294"/>
      <c r="I131" s="294"/>
      <c r="J131" s="294"/>
      <c r="K131" s="294"/>
      <c r="L131" s="294"/>
      <c r="M131" s="294"/>
      <c r="N131" s="294"/>
      <c r="O131" s="294"/>
      <c r="P131" s="294"/>
      <c r="Q131" s="294"/>
      <c r="R131" s="294"/>
      <c r="S131" s="294"/>
      <c r="T131" s="294"/>
      <c r="U131" s="294"/>
      <c r="V131" s="294"/>
      <c r="W131" s="294"/>
      <c r="X131" s="294"/>
      <c r="Y131" s="294"/>
      <c r="Z131" s="294"/>
    </row>
    <row r="132" spans="4:26" x14ac:dyDescent="0.2">
      <c r="F132" s="281" t="s">
        <v>527</v>
      </c>
    </row>
    <row r="133" spans="4:26" x14ac:dyDescent="0.2">
      <c r="F133" s="281" t="s">
        <v>528</v>
      </c>
    </row>
    <row r="143" spans="4:26" x14ac:dyDescent="0.2">
      <c r="D143" s="336" t="s">
        <v>529</v>
      </c>
      <c r="E143" s="294"/>
      <c r="F143" s="294"/>
      <c r="G143" s="294"/>
      <c r="H143" s="294"/>
      <c r="I143" s="294"/>
      <c r="J143" s="294"/>
      <c r="K143" s="294"/>
      <c r="L143" s="294"/>
      <c r="M143" s="294"/>
      <c r="N143" s="294"/>
      <c r="O143" s="294"/>
      <c r="P143" s="294"/>
      <c r="Q143" s="294"/>
      <c r="R143" s="294"/>
      <c r="S143" s="294"/>
      <c r="T143" s="294"/>
      <c r="U143" s="294"/>
      <c r="V143" s="294"/>
      <c r="W143" s="294"/>
      <c r="X143" s="294"/>
    </row>
    <row r="144" spans="4:26" x14ac:dyDescent="0.2">
      <c r="D144" s="294"/>
      <c r="E144" s="294"/>
      <c r="F144" s="294"/>
      <c r="G144" s="294"/>
      <c r="H144" s="294"/>
      <c r="I144" s="294"/>
      <c r="J144" s="294"/>
      <c r="K144" s="294"/>
      <c r="L144" s="294"/>
      <c r="M144" s="294"/>
      <c r="N144" s="294"/>
      <c r="O144" s="294"/>
      <c r="P144" s="294"/>
      <c r="Q144" s="294"/>
      <c r="R144" s="294"/>
      <c r="S144" s="294"/>
      <c r="T144" s="294"/>
      <c r="U144" s="294"/>
      <c r="V144" s="294"/>
      <c r="W144" s="294"/>
      <c r="X144" s="294"/>
    </row>
    <row r="145" spans="4:24" x14ac:dyDescent="0.2">
      <c r="D145" s="281" t="s">
        <v>530</v>
      </c>
    </row>
    <row r="146" spans="4:24" x14ac:dyDescent="0.2">
      <c r="D146" s="281" t="s">
        <v>531</v>
      </c>
    </row>
    <row r="148" spans="4:24" x14ac:dyDescent="0.2">
      <c r="D148" s="281" t="s">
        <v>532</v>
      </c>
    </row>
    <row r="149" spans="4:24" x14ac:dyDescent="0.2">
      <c r="D149" s="281" t="s">
        <v>533</v>
      </c>
    </row>
    <row r="152" spans="4:24" x14ac:dyDescent="0.2">
      <c r="D152" s="336" t="s">
        <v>534</v>
      </c>
      <c r="E152" s="294"/>
      <c r="F152" s="294"/>
      <c r="G152" s="294"/>
      <c r="H152" s="294"/>
      <c r="I152" s="294"/>
      <c r="J152" s="294"/>
      <c r="K152" s="294"/>
      <c r="L152" s="294"/>
      <c r="M152" s="294"/>
      <c r="N152" s="294"/>
      <c r="O152" s="294"/>
      <c r="P152" s="294"/>
      <c r="Q152" s="294"/>
      <c r="R152" s="294"/>
      <c r="S152" s="294"/>
      <c r="T152" s="294"/>
      <c r="U152" s="294"/>
      <c r="V152" s="294"/>
      <c r="W152" s="294"/>
      <c r="X152" s="294"/>
    </row>
    <row r="153" spans="4:24" x14ac:dyDescent="0.2">
      <c r="D153" s="294"/>
      <c r="E153" s="294"/>
      <c r="F153" s="294"/>
      <c r="G153" s="294"/>
      <c r="H153" s="294"/>
      <c r="I153" s="294"/>
      <c r="J153" s="294"/>
      <c r="K153" s="294"/>
      <c r="L153" s="294"/>
      <c r="M153" s="294"/>
      <c r="N153" s="294"/>
      <c r="O153" s="294"/>
      <c r="P153" s="294"/>
      <c r="Q153" s="294"/>
      <c r="R153" s="294"/>
      <c r="S153" s="294"/>
      <c r="T153" s="294"/>
      <c r="U153" s="294"/>
      <c r="V153" s="294"/>
      <c r="W153" s="294"/>
      <c r="X153" s="294"/>
    </row>
    <row r="154" spans="4:24" x14ac:dyDescent="0.2">
      <c r="G154" s="281" t="s">
        <v>535</v>
      </c>
    </row>
  </sheetData>
  <mergeCells count="15">
    <mergeCell ref="B13:J14"/>
    <mergeCell ref="H16:V17"/>
    <mergeCell ref="C104:W105"/>
    <mergeCell ref="D152:X153"/>
    <mergeCell ref="AL16:BD17"/>
    <mergeCell ref="V121:AP122"/>
    <mergeCell ref="F130:Z131"/>
    <mergeCell ref="D143:X144"/>
    <mergeCell ref="B49:N50"/>
    <mergeCell ref="C84:Q85"/>
    <mergeCell ref="AE93:AY94"/>
    <mergeCell ref="B41:O42"/>
    <mergeCell ref="B71:P72"/>
    <mergeCell ref="B29:O30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/>
  <headerFooter>
    <oddFooter>&amp;L_x000D_&amp;1#&amp;"Arial"&amp;7&amp;KDAD4CE Confidential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6" activePane="bottomLeft" state="frozenSplit"/>
      <selection pane="bottomLeft" activeCell="Z36" sqref="Z36"/>
    </sheetView>
  </sheetViews>
  <sheetFormatPr baseColWidth="10" defaultColWidth="3.83203125" defaultRowHeight="15" x14ac:dyDescent="0.2"/>
  <cols>
    <col min="1" max="1" width="2.83203125" customWidth="1"/>
    <col min="2" max="2" width="4.5" bestFit="1" customWidth="1"/>
  </cols>
  <sheetData>
    <row r="2" spans="2:4" ht="28.5" customHeight="1" x14ac:dyDescent="0.2">
      <c r="B2" s="280" t="str">
        <f>TEMPLATE_NAME&amp;" "&amp;TEMPLATE_VER&amp;" - FAQs"</f>
        <v>AG Estimation Template -  Version 2.0.4 - FAQs</v>
      </c>
    </row>
    <row r="4" spans="2:4" ht="18.5" customHeight="1" x14ac:dyDescent="0.25">
      <c r="B4" s="287" t="s">
        <v>536</v>
      </c>
    </row>
    <row r="6" spans="2:4" s="149" customFormat="1" ht="21" customHeight="1" x14ac:dyDescent="0.25">
      <c r="B6" s="288">
        <v>1</v>
      </c>
      <c r="C6" s="288" t="s">
        <v>537</v>
      </c>
    </row>
    <row r="7" spans="2:4" x14ac:dyDescent="0.2">
      <c r="D7" s="224" t="s">
        <v>538</v>
      </c>
    </row>
    <row r="8" spans="2:4" x14ac:dyDescent="0.2">
      <c r="D8" s="224" t="s">
        <v>539</v>
      </c>
    </row>
    <row r="10" spans="2:4" s="149" customFormat="1" ht="21" customHeight="1" x14ac:dyDescent="0.25">
      <c r="B10" s="288">
        <v>2</v>
      </c>
      <c r="C10" s="288" t="s">
        <v>540</v>
      </c>
    </row>
    <row r="11" spans="2:4" x14ac:dyDescent="0.2">
      <c r="D11" s="224" t="s">
        <v>541</v>
      </c>
    </row>
    <row r="12" spans="2:4" x14ac:dyDescent="0.2">
      <c r="D12" s="224" t="s">
        <v>542</v>
      </c>
    </row>
    <row r="14" spans="2:4" s="149" customFormat="1" ht="21" customHeight="1" x14ac:dyDescent="0.25">
      <c r="B14" s="288">
        <v>3</v>
      </c>
      <c r="C14" s="288" t="s">
        <v>543</v>
      </c>
    </row>
    <row r="15" spans="2:4" x14ac:dyDescent="0.2">
      <c r="D15" s="224" t="s">
        <v>544</v>
      </c>
    </row>
    <row r="17" spans="2:4" s="149" customFormat="1" ht="21" customHeight="1" x14ac:dyDescent="0.25">
      <c r="B17" s="288">
        <v>4</v>
      </c>
      <c r="C17" s="288" t="s">
        <v>545</v>
      </c>
    </row>
    <row r="18" spans="2:4" x14ac:dyDescent="0.2">
      <c r="D18" s="224" t="s">
        <v>546</v>
      </c>
    </row>
    <row r="19" spans="2:4" x14ac:dyDescent="0.2">
      <c r="D19" s="224" t="s">
        <v>547</v>
      </c>
    </row>
    <row r="20" spans="2:4" x14ac:dyDescent="0.2">
      <c r="D20" s="224" t="s">
        <v>548</v>
      </c>
    </row>
    <row r="22" spans="2:4" s="149" customFormat="1" ht="21" customHeight="1" x14ac:dyDescent="0.25">
      <c r="B22" s="288">
        <v>5</v>
      </c>
      <c r="C22" s="288" t="s">
        <v>549</v>
      </c>
    </row>
    <row r="23" spans="2:4" x14ac:dyDescent="0.2">
      <c r="D23" s="224" t="s">
        <v>550</v>
      </c>
    </row>
    <row r="24" spans="2:4" x14ac:dyDescent="0.2">
      <c r="D24" s="224" t="s">
        <v>551</v>
      </c>
    </row>
    <row r="25" spans="2:4" x14ac:dyDescent="0.2">
      <c r="D25" s="224" t="s">
        <v>552</v>
      </c>
    </row>
    <row r="27" spans="2:4" s="149" customFormat="1" ht="21" customHeight="1" x14ac:dyDescent="0.25">
      <c r="B27" s="288">
        <v>6</v>
      </c>
      <c r="C27" s="288" t="s">
        <v>553</v>
      </c>
    </row>
    <row r="28" spans="2:4" x14ac:dyDescent="0.2">
      <c r="D28" s="224" t="s">
        <v>554</v>
      </c>
    </row>
    <row r="30" spans="2:4" s="149" customFormat="1" ht="21" customHeight="1" x14ac:dyDescent="0.25">
      <c r="B30" s="288">
        <v>7</v>
      </c>
      <c r="C30" s="288" t="s">
        <v>555</v>
      </c>
    </row>
    <row r="31" spans="2:4" x14ac:dyDescent="0.2">
      <c r="D31" s="224" t="s">
        <v>556</v>
      </c>
    </row>
    <row r="33" spans="2:9" s="149" customFormat="1" ht="21" customHeight="1" x14ac:dyDescent="0.25">
      <c r="B33" s="288">
        <v>8</v>
      </c>
      <c r="C33" s="288" t="s">
        <v>557</v>
      </c>
    </row>
    <row r="34" spans="2:9" x14ac:dyDescent="0.2">
      <c r="D34" s="224" t="s">
        <v>558</v>
      </c>
    </row>
    <row r="35" spans="2:9" x14ac:dyDescent="0.2">
      <c r="D35" s="224" t="s">
        <v>559</v>
      </c>
    </row>
    <row r="37" spans="2:9" s="149" customFormat="1" ht="21" customHeight="1" x14ac:dyDescent="0.25">
      <c r="B37" s="288">
        <v>9</v>
      </c>
      <c r="C37" s="288" t="s">
        <v>560</v>
      </c>
    </row>
    <row r="38" spans="2:9" x14ac:dyDescent="0.2">
      <c r="D38" s="224" t="s">
        <v>561</v>
      </c>
    </row>
    <row r="39" spans="2:9" x14ac:dyDescent="0.2">
      <c r="F39" s="289" t="s">
        <v>562</v>
      </c>
      <c r="G39" s="224" t="s">
        <v>563</v>
      </c>
    </row>
    <row r="40" spans="2:9" x14ac:dyDescent="0.2">
      <c r="F40" s="289" t="s">
        <v>564</v>
      </c>
      <c r="G40" s="224" t="s">
        <v>565</v>
      </c>
    </row>
    <row r="41" spans="2:9" x14ac:dyDescent="0.2">
      <c r="F41" s="289" t="s">
        <v>566</v>
      </c>
      <c r="G41" s="224" t="s">
        <v>567</v>
      </c>
    </row>
    <row r="42" spans="2:9" x14ac:dyDescent="0.2">
      <c r="F42" s="289" t="s">
        <v>568</v>
      </c>
      <c r="G42" s="224" t="s">
        <v>569</v>
      </c>
    </row>
    <row r="43" spans="2:9" x14ac:dyDescent="0.2">
      <c r="G43" s="289" t="s">
        <v>570</v>
      </c>
      <c r="H43" s="224" t="s">
        <v>571</v>
      </c>
    </row>
    <row r="44" spans="2:9" x14ac:dyDescent="0.2">
      <c r="G44" s="289" t="s">
        <v>572</v>
      </c>
      <c r="H44" s="224" t="s">
        <v>573</v>
      </c>
    </row>
    <row r="45" spans="2:9" x14ac:dyDescent="0.2">
      <c r="G45" s="270" t="s">
        <v>574</v>
      </c>
      <c r="H45" s="224" t="s">
        <v>575</v>
      </c>
    </row>
    <row r="46" spans="2:9" x14ac:dyDescent="0.2">
      <c r="I46" s="224" t="s">
        <v>576</v>
      </c>
    </row>
    <row r="47" spans="2:9" x14ac:dyDescent="0.2">
      <c r="G47" s="289" t="s">
        <v>577</v>
      </c>
      <c r="H47" s="224" t="s">
        <v>578</v>
      </c>
    </row>
    <row r="48" spans="2:9" x14ac:dyDescent="0.2">
      <c r="I48" s="224" t="s">
        <v>579</v>
      </c>
    </row>
    <row r="49" spans="2:20" x14ac:dyDescent="0.2">
      <c r="G49" s="289" t="s">
        <v>580</v>
      </c>
      <c r="H49" s="224" t="s">
        <v>581</v>
      </c>
    </row>
    <row r="50" spans="2:20" x14ac:dyDescent="0.2">
      <c r="D50" s="338" t="s">
        <v>582</v>
      </c>
      <c r="E50" s="294"/>
      <c r="F50" s="294"/>
      <c r="G50" s="294"/>
      <c r="H50" s="224" t="s">
        <v>583</v>
      </c>
    </row>
    <row r="51" spans="2:20" x14ac:dyDescent="0.2">
      <c r="D51" s="294"/>
      <c r="E51" s="294"/>
      <c r="F51" s="294"/>
      <c r="G51" s="294"/>
    </row>
    <row r="52" spans="2:20" x14ac:dyDescent="0.2">
      <c r="D52" s="294"/>
      <c r="E52" s="294"/>
      <c r="F52" s="294"/>
      <c r="G52" s="294"/>
    </row>
    <row r="54" spans="2:20" s="149" customFormat="1" ht="21" customHeight="1" x14ac:dyDescent="0.25">
      <c r="B54" s="288">
        <v>10</v>
      </c>
      <c r="C54" s="288" t="s">
        <v>584</v>
      </c>
    </row>
    <row r="55" spans="2:20" x14ac:dyDescent="0.2">
      <c r="D55" s="224" t="s">
        <v>585</v>
      </c>
    </row>
    <row r="56" spans="2:20" x14ac:dyDescent="0.2">
      <c r="D56" s="224" t="s">
        <v>586</v>
      </c>
    </row>
    <row r="57" spans="2:20" x14ac:dyDescent="0.2">
      <c r="F57" s="289" t="s">
        <v>587</v>
      </c>
      <c r="G57" s="224" t="s">
        <v>588</v>
      </c>
    </row>
    <row r="58" spans="2:20" x14ac:dyDescent="0.2">
      <c r="H58" s="224" t="s">
        <v>589</v>
      </c>
    </row>
    <row r="59" spans="2:20" x14ac:dyDescent="0.2">
      <c r="I59" s="224" t="s">
        <v>590</v>
      </c>
      <c r="N59" s="224" t="s">
        <v>591</v>
      </c>
    </row>
    <row r="60" spans="2:20" x14ac:dyDescent="0.2">
      <c r="I60" s="224" t="s">
        <v>592</v>
      </c>
      <c r="N60" s="224" t="s">
        <v>593</v>
      </c>
      <c r="T60" s="224" t="s">
        <v>594</v>
      </c>
    </row>
    <row r="61" spans="2:20" x14ac:dyDescent="0.2">
      <c r="I61" s="224" t="s">
        <v>595</v>
      </c>
      <c r="N61" s="224" t="s">
        <v>596</v>
      </c>
      <c r="T61" s="224" t="s">
        <v>594</v>
      </c>
    </row>
    <row r="62" spans="2:20" x14ac:dyDescent="0.2">
      <c r="N62" s="224" t="s">
        <v>597</v>
      </c>
    </row>
    <row r="63" spans="2:20" x14ac:dyDescent="0.2">
      <c r="F63" s="289" t="s">
        <v>598</v>
      </c>
      <c r="G63" s="224" t="s">
        <v>599</v>
      </c>
    </row>
    <row r="64" spans="2:20" x14ac:dyDescent="0.2">
      <c r="F64" s="289" t="s">
        <v>600</v>
      </c>
      <c r="G64" s="224" t="s">
        <v>601</v>
      </c>
    </row>
    <row r="65" spans="2:30" x14ac:dyDescent="0.2">
      <c r="H65" s="224" t="s">
        <v>602</v>
      </c>
    </row>
    <row r="66" spans="2:30" x14ac:dyDescent="0.2">
      <c r="I66" s="224" t="s">
        <v>603</v>
      </c>
    </row>
    <row r="67" spans="2:30" x14ac:dyDescent="0.2">
      <c r="G67" s="224" t="s">
        <v>604</v>
      </c>
    </row>
    <row r="68" spans="2:30" x14ac:dyDescent="0.2">
      <c r="F68" s="289" t="s">
        <v>605</v>
      </c>
      <c r="G68" s="224" t="s">
        <v>606</v>
      </c>
      <c r="AD68" s="224" t="s">
        <v>594</v>
      </c>
    </row>
    <row r="69" spans="2:30" x14ac:dyDescent="0.2">
      <c r="H69" s="224" t="s">
        <v>607</v>
      </c>
    </row>
    <row r="71" spans="2:30" s="149" customFormat="1" ht="21" customHeight="1" x14ac:dyDescent="0.25">
      <c r="B71" s="288">
        <v>11</v>
      </c>
      <c r="C71" s="288" t="s">
        <v>608</v>
      </c>
    </row>
    <row r="72" spans="2:30" x14ac:dyDescent="0.2">
      <c r="D72" s="224" t="s">
        <v>609</v>
      </c>
    </row>
    <row r="73" spans="2:30" x14ac:dyDescent="0.2">
      <c r="D73" s="224" t="s">
        <v>610</v>
      </c>
    </row>
    <row r="74" spans="2:30" x14ac:dyDescent="0.2">
      <c r="D74" s="224" t="s">
        <v>611</v>
      </c>
    </row>
    <row r="76" spans="2:30" s="149" customFormat="1" ht="21" customHeight="1" x14ac:dyDescent="0.25">
      <c r="B76" s="288">
        <v>12</v>
      </c>
      <c r="C76" s="288" t="s">
        <v>612</v>
      </c>
    </row>
    <row r="77" spans="2:30" x14ac:dyDescent="0.2">
      <c r="D77" s="224" t="s">
        <v>613</v>
      </c>
    </row>
    <row r="78" spans="2:30" x14ac:dyDescent="0.2">
      <c r="D78" s="224" t="s">
        <v>614</v>
      </c>
    </row>
    <row r="79" spans="2:30" x14ac:dyDescent="0.2">
      <c r="E79" s="289" t="s">
        <v>615</v>
      </c>
      <c r="F79" s="224" t="s">
        <v>616</v>
      </c>
    </row>
    <row r="80" spans="2:30" x14ac:dyDescent="0.2">
      <c r="G80" s="224" t="s">
        <v>617</v>
      </c>
    </row>
    <row r="81" spans="2:7" x14ac:dyDescent="0.2">
      <c r="G81" s="224" t="s">
        <v>618</v>
      </c>
    </row>
    <row r="82" spans="2:7" x14ac:dyDescent="0.2">
      <c r="E82" s="289" t="s">
        <v>619</v>
      </c>
      <c r="F82" s="224" t="s">
        <v>620</v>
      </c>
    </row>
    <row r="83" spans="2:7" x14ac:dyDescent="0.2">
      <c r="G83" s="224" t="s">
        <v>621</v>
      </c>
    </row>
    <row r="85" spans="2:7" s="149" customFormat="1" ht="21" customHeight="1" x14ac:dyDescent="0.25">
      <c r="B85" s="288">
        <v>13</v>
      </c>
      <c r="C85" s="288" t="s">
        <v>622</v>
      </c>
    </row>
    <row r="86" spans="2:7" x14ac:dyDescent="0.2">
      <c r="D86" s="224" t="s">
        <v>623</v>
      </c>
    </row>
    <row r="87" spans="2:7" x14ac:dyDescent="0.2">
      <c r="E87" s="289" t="s">
        <v>624</v>
      </c>
      <c r="F87" s="224" t="s">
        <v>625</v>
      </c>
    </row>
    <row r="88" spans="2:7" x14ac:dyDescent="0.2">
      <c r="E88" s="144"/>
      <c r="F88" s="224" t="s">
        <v>626</v>
      </c>
    </row>
    <row r="89" spans="2:7" x14ac:dyDescent="0.2">
      <c r="E89" s="144"/>
      <c r="F89" s="224" t="s">
        <v>627</v>
      </c>
    </row>
    <row r="90" spans="2:7" x14ac:dyDescent="0.2">
      <c r="E90" s="144"/>
      <c r="F90" s="224" t="s">
        <v>628</v>
      </c>
    </row>
    <row r="91" spans="2:7" x14ac:dyDescent="0.2">
      <c r="E91" s="144"/>
      <c r="F91" s="224" t="s">
        <v>629</v>
      </c>
    </row>
    <row r="92" spans="2:7" x14ac:dyDescent="0.2">
      <c r="E92" s="289" t="s">
        <v>630</v>
      </c>
      <c r="F92" s="224" t="s">
        <v>631</v>
      </c>
    </row>
    <row r="93" spans="2:7" x14ac:dyDescent="0.2">
      <c r="E93" s="144"/>
      <c r="F93" s="224" t="s">
        <v>632</v>
      </c>
    </row>
    <row r="94" spans="2:7" x14ac:dyDescent="0.2">
      <c r="E94" s="289" t="s">
        <v>633</v>
      </c>
      <c r="F94" s="224" t="s">
        <v>634</v>
      </c>
    </row>
    <row r="96" spans="2:7" s="149" customFormat="1" ht="21" customHeight="1" x14ac:dyDescent="0.25">
      <c r="B96" s="288">
        <v>14</v>
      </c>
      <c r="C96" s="288" t="s">
        <v>635</v>
      </c>
    </row>
    <row r="97" spans="2:6" x14ac:dyDescent="0.2">
      <c r="D97" s="224" t="s">
        <v>636</v>
      </c>
    </row>
    <row r="98" spans="2:6" x14ac:dyDescent="0.2">
      <c r="E98" s="289" t="s">
        <v>637</v>
      </c>
      <c r="F98" s="224" t="s">
        <v>638</v>
      </c>
    </row>
    <row r="99" spans="2:6" x14ac:dyDescent="0.2">
      <c r="E99" s="289" t="s">
        <v>639</v>
      </c>
      <c r="F99" s="224" t="s">
        <v>640</v>
      </c>
    </row>
    <row r="100" spans="2:6" x14ac:dyDescent="0.2">
      <c r="E100" s="289" t="s">
        <v>641</v>
      </c>
      <c r="F100" s="224" t="s">
        <v>642</v>
      </c>
    </row>
    <row r="101" spans="2:6" x14ac:dyDescent="0.2">
      <c r="E101" s="289" t="s">
        <v>643</v>
      </c>
      <c r="F101" s="224" t="s">
        <v>644</v>
      </c>
    </row>
    <row r="102" spans="2:6" x14ac:dyDescent="0.2">
      <c r="E102" s="289" t="s">
        <v>645</v>
      </c>
      <c r="F102" s="224" t="s">
        <v>646</v>
      </c>
    </row>
    <row r="104" spans="2:6" s="149" customFormat="1" ht="21" customHeight="1" x14ac:dyDescent="0.25">
      <c r="B104" s="288">
        <v>15</v>
      </c>
      <c r="C104" s="288" t="s">
        <v>647</v>
      </c>
    </row>
    <row r="105" spans="2:6" x14ac:dyDescent="0.2">
      <c r="D105" s="224" t="s">
        <v>648</v>
      </c>
    </row>
    <row r="106" spans="2:6" x14ac:dyDescent="0.2">
      <c r="D106" s="224" t="s">
        <v>649</v>
      </c>
    </row>
    <row r="108" spans="2:6" s="149" customFormat="1" ht="21" customHeight="1" x14ac:dyDescent="0.25">
      <c r="B108" s="288">
        <v>16</v>
      </c>
      <c r="C108" s="288" t="s">
        <v>650</v>
      </c>
    </row>
    <row r="109" spans="2:6" x14ac:dyDescent="0.2">
      <c r="D109" s="224" t="s">
        <v>651</v>
      </c>
    </row>
    <row r="110" spans="2:6" x14ac:dyDescent="0.2">
      <c r="D110" s="224" t="s">
        <v>652</v>
      </c>
    </row>
    <row r="111" spans="2:6" x14ac:dyDescent="0.2">
      <c r="D111" s="224" t="s">
        <v>653</v>
      </c>
    </row>
    <row r="114" spans="2:6" ht="18.5" customHeight="1" x14ac:dyDescent="0.25">
      <c r="B114" s="287" t="s">
        <v>654</v>
      </c>
    </row>
    <row r="116" spans="2:6" s="149" customFormat="1" ht="21" customHeight="1" x14ac:dyDescent="0.25">
      <c r="B116" s="290">
        <v>17</v>
      </c>
      <c r="C116" s="290" t="s">
        <v>655</v>
      </c>
    </row>
    <row r="117" spans="2:6" x14ac:dyDescent="0.2">
      <c r="D117" s="224" t="s">
        <v>656</v>
      </c>
    </row>
    <row r="118" spans="2:6" x14ac:dyDescent="0.2">
      <c r="E118" s="224" t="s">
        <v>657</v>
      </c>
    </row>
    <row r="119" spans="2:6" x14ac:dyDescent="0.2">
      <c r="E119" s="224" t="s">
        <v>658</v>
      </c>
    </row>
    <row r="120" spans="2:6" x14ac:dyDescent="0.2">
      <c r="E120" s="224" t="s">
        <v>659</v>
      </c>
    </row>
    <row r="121" spans="2:6" s="150" customFormat="1" x14ac:dyDescent="0.2">
      <c r="F121" s="224" t="s">
        <v>660</v>
      </c>
    </row>
    <row r="122" spans="2:6" s="150" customFormat="1" x14ac:dyDescent="0.2"/>
    <row r="123" spans="2:6" s="150" customFormat="1" x14ac:dyDescent="0.2">
      <c r="E123" s="224" t="s">
        <v>661</v>
      </c>
    </row>
    <row r="124" spans="2:6" s="150" customFormat="1" x14ac:dyDescent="0.2">
      <c r="F124" s="224" t="s">
        <v>662</v>
      </c>
    </row>
    <row r="125" spans="2:6" s="150" customFormat="1" x14ac:dyDescent="0.2">
      <c r="F125" s="224" t="s">
        <v>663</v>
      </c>
    </row>
    <row r="126" spans="2:6" x14ac:dyDescent="0.2">
      <c r="F126" s="224" t="s">
        <v>664</v>
      </c>
    </row>
    <row r="128" spans="2:6" s="149" customFormat="1" ht="21" customHeight="1" x14ac:dyDescent="0.25">
      <c r="B128" s="290">
        <v>18</v>
      </c>
      <c r="C128" s="290" t="s">
        <v>665</v>
      </c>
    </row>
    <row r="129" spans="2:4" x14ac:dyDescent="0.2">
      <c r="D129" s="224" t="s">
        <v>666</v>
      </c>
    </row>
    <row r="130" spans="2:4" x14ac:dyDescent="0.2">
      <c r="D130" s="224" t="s">
        <v>667</v>
      </c>
    </row>
    <row r="131" spans="2:4" x14ac:dyDescent="0.2">
      <c r="D131" s="224" t="s">
        <v>668</v>
      </c>
    </row>
    <row r="132" spans="2:4" x14ac:dyDescent="0.2">
      <c r="D132" s="224" t="s">
        <v>669</v>
      </c>
    </row>
    <row r="134" spans="2:4" s="149" customFormat="1" ht="21" customHeight="1" x14ac:dyDescent="0.25">
      <c r="B134" s="290">
        <v>19</v>
      </c>
      <c r="C134" s="290" t="s">
        <v>670</v>
      </c>
    </row>
    <row r="135" spans="2:4" x14ac:dyDescent="0.2">
      <c r="D135" s="224" t="s">
        <v>671</v>
      </c>
    </row>
    <row r="137" spans="2:4" s="149" customFormat="1" ht="21" customHeight="1" x14ac:dyDescent="0.25">
      <c r="B137" s="290">
        <v>20</v>
      </c>
      <c r="C137" s="290" t="s">
        <v>672</v>
      </c>
    </row>
    <row r="138" spans="2:4" x14ac:dyDescent="0.2">
      <c r="D138" s="224" t="s">
        <v>673</v>
      </c>
    </row>
    <row r="140" spans="2:4" s="149" customFormat="1" ht="21" customHeight="1" x14ac:dyDescent="0.25">
      <c r="B140" s="290">
        <v>21</v>
      </c>
      <c r="C140" s="290" t="s">
        <v>674</v>
      </c>
    </row>
    <row r="141" spans="2:4" x14ac:dyDescent="0.2">
      <c r="D141" s="224" t="s">
        <v>675</v>
      </c>
    </row>
    <row r="142" spans="2:4" x14ac:dyDescent="0.2">
      <c r="D142" s="224" t="s">
        <v>676</v>
      </c>
    </row>
    <row r="144" spans="2:4" s="149" customFormat="1" ht="21" customHeight="1" x14ac:dyDescent="0.25">
      <c r="B144" s="290">
        <v>22</v>
      </c>
      <c r="C144" s="290" t="s">
        <v>677</v>
      </c>
    </row>
    <row r="145" spans="2:4" x14ac:dyDescent="0.2">
      <c r="D145" s="224" t="s">
        <v>678</v>
      </c>
    </row>
    <row r="146" spans="2:4" x14ac:dyDescent="0.2">
      <c r="D146" s="224" t="s">
        <v>679</v>
      </c>
    </row>
    <row r="147" spans="2:4" x14ac:dyDescent="0.2">
      <c r="D147" s="224" t="s">
        <v>680</v>
      </c>
    </row>
    <row r="148" spans="2:4" x14ac:dyDescent="0.2">
      <c r="D148" s="224" t="s">
        <v>681</v>
      </c>
    </row>
    <row r="151" spans="2:4" ht="18.5" customHeight="1" x14ac:dyDescent="0.25">
      <c r="B151" s="287" t="s">
        <v>682</v>
      </c>
    </row>
    <row r="153" spans="2:4" s="149" customFormat="1" ht="21" customHeight="1" x14ac:dyDescent="0.25">
      <c r="B153" s="291">
        <v>23</v>
      </c>
      <c r="C153" s="291" t="s">
        <v>683</v>
      </c>
    </row>
    <row r="154" spans="2:4" x14ac:dyDescent="0.2">
      <c r="D154" s="224" t="s">
        <v>684</v>
      </c>
    </row>
    <row r="155" spans="2:4" x14ac:dyDescent="0.2">
      <c r="D155" s="224" t="s">
        <v>685</v>
      </c>
    </row>
    <row r="156" spans="2:4" x14ac:dyDescent="0.2">
      <c r="D156" s="224" t="s">
        <v>686</v>
      </c>
    </row>
    <row r="157" spans="2:4" x14ac:dyDescent="0.2">
      <c r="D157" s="224" t="s">
        <v>687</v>
      </c>
    </row>
    <row r="159" spans="2:4" s="149" customFormat="1" ht="21" customHeight="1" x14ac:dyDescent="0.25">
      <c r="B159" s="291">
        <v>24</v>
      </c>
      <c r="C159" s="291" t="s">
        <v>688</v>
      </c>
    </row>
    <row r="160" spans="2:4" x14ac:dyDescent="0.2">
      <c r="D160" s="224" t="s">
        <v>689</v>
      </c>
    </row>
    <row r="161" spans="2:4" x14ac:dyDescent="0.2">
      <c r="D161" s="224" t="s">
        <v>690</v>
      </c>
    </row>
    <row r="162" spans="2:4" x14ac:dyDescent="0.2">
      <c r="D162" s="224" t="s">
        <v>691</v>
      </c>
    </row>
    <row r="163" spans="2:4" x14ac:dyDescent="0.2">
      <c r="D163" s="224" t="s">
        <v>692</v>
      </c>
    </row>
    <row r="165" spans="2:4" s="149" customFormat="1" ht="21" customHeight="1" x14ac:dyDescent="0.25">
      <c r="B165" s="291">
        <v>25</v>
      </c>
      <c r="C165" s="291" t="s">
        <v>693</v>
      </c>
    </row>
    <row r="166" spans="2:4" x14ac:dyDescent="0.2">
      <c r="D166" s="224" t="s">
        <v>694</v>
      </c>
    </row>
    <row r="167" spans="2:4" x14ac:dyDescent="0.2">
      <c r="D167" s="224" t="s">
        <v>695</v>
      </c>
    </row>
    <row r="168" spans="2:4" x14ac:dyDescent="0.2">
      <c r="D168" s="224" t="s">
        <v>696</v>
      </c>
    </row>
    <row r="172" spans="2:4" ht="18.5" customHeight="1" x14ac:dyDescent="0.25">
      <c r="B172" s="287" t="s">
        <v>697</v>
      </c>
    </row>
    <row r="174" spans="2:4" s="149" customFormat="1" ht="21" customHeight="1" x14ac:dyDescent="0.25">
      <c r="B174" s="292">
        <v>26</v>
      </c>
      <c r="C174" s="292" t="s">
        <v>698</v>
      </c>
    </row>
    <row r="175" spans="2:4" x14ac:dyDescent="0.2">
      <c r="C175" s="224" t="s">
        <v>699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/>
  <headerFooter>
    <oddFooter>&amp;L_x000D_&amp;1#&amp;"Arial"&amp;7&amp;KDAD4CE Confidential</oddFooter>
  </headerFooter>
</worksheet>
</file>

<file path=docMetadata/LabelInfo.xml><?xml version="1.0" encoding="utf-8"?>
<clbl:labelList xmlns:clbl="http://schemas.microsoft.com/office/2020/mipLabelMetadata">
  <clbl:label id="{175d2d60-704b-40a9-a2cb-c739440f4137}" enabled="1" method="Privileged" siteId="{f0bdc1c9-5148-4f86-ac40-edd976e1814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Mohit Bhardwaj</dc:creator>
  <cp:lastModifiedBy>Gupta, Pawan</cp:lastModifiedBy>
  <cp:lastPrinted>2015-06-17T10:58:29Z</cp:lastPrinted>
  <dcterms:created xsi:type="dcterms:W3CDTF">2013-10-21T05:49:27Z</dcterms:created>
  <dcterms:modified xsi:type="dcterms:W3CDTF">2026-08-31T07:33:04Z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